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survey-dashboard\"/>
    </mc:Choice>
  </mc:AlternateContent>
  <xr:revisionPtr revIDLastSave="0" documentId="13_ncr:1_{2033EE3A-E66F-4EEA-A470-5CC6922D40C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設定" sheetId="4" r:id="rId1"/>
    <sheet name="名簿" sheetId="5" r:id="rId2"/>
    <sheet name="小学校コード一覧表" sheetId="2" state="hidden" r:id="rId3"/>
    <sheet name="中学校コード一覧表" sheetId="3" state="hidden" r:id="rId4"/>
  </sheets>
  <definedNames>
    <definedName name="_xlnm._FilterDatabase" localSheetId="2" hidden="1">小学校コード一覧表!$A$2:$D$318</definedName>
    <definedName name="_xlnm.Print_Area" localSheetId="2">小学校コード一覧表!$A$1:$E$318</definedName>
    <definedName name="_xlnm.Print_Area" localSheetId="3">中学校コード一覧表!$A$1:$E$202</definedName>
    <definedName name="_xlnm.Print_Titles" localSheetId="2">小学校コード一覧表!$1:$2</definedName>
    <definedName name="_xlnm.Print_Titles" localSheetId="3">中学校コード一覧表!$1:$2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C3" i="4"/>
  <c r="C2" i="4"/>
  <c r="D1" i="3"/>
  <c r="A14" i="4" a="1"/>
  <c r="N2" i="4" a="1"/>
  <c r="M2" i="4" a="1"/>
  <c r="L2" i="4" a="1"/>
  <c r="B15" i="5" l="1"/>
  <c r="B16" i="5"/>
  <c r="B17" i="5"/>
  <c r="B23" i="5"/>
  <c r="E23" i="5" s="1"/>
  <c r="B29" i="5"/>
  <c r="E29" i="5" s="1"/>
  <c r="B35" i="5"/>
  <c r="E35" i="5" s="1"/>
  <c r="B41" i="5"/>
  <c r="E41" i="5" s="1"/>
  <c r="B47" i="5"/>
  <c r="E47" i="5" s="1"/>
  <c r="B53" i="5"/>
  <c r="E53" i="5" s="1"/>
  <c r="B59" i="5"/>
  <c r="E59" i="5" s="1"/>
  <c r="B65" i="5"/>
  <c r="E65" i="5" s="1"/>
  <c r="B71" i="5"/>
  <c r="E71" i="5" s="1"/>
  <c r="B77" i="5"/>
  <c r="E77" i="5" s="1"/>
  <c r="B83" i="5"/>
  <c r="E83" i="5" s="1"/>
  <c r="B89" i="5"/>
  <c r="E89" i="5" s="1"/>
  <c r="B95" i="5"/>
  <c r="E95" i="5" s="1"/>
  <c r="B101" i="5"/>
  <c r="E101" i="5" s="1"/>
  <c r="B107" i="5"/>
  <c r="E107" i="5" s="1"/>
  <c r="B113" i="5"/>
  <c r="E113" i="5" s="1"/>
  <c r="B119" i="5"/>
  <c r="E119" i="5" s="1"/>
  <c r="B125" i="5"/>
  <c r="E125" i="5" s="1"/>
  <c r="B131" i="5"/>
  <c r="E131" i="5" s="1"/>
  <c r="B137" i="5"/>
  <c r="E137" i="5" s="1"/>
  <c r="B143" i="5"/>
  <c r="E143" i="5" s="1"/>
  <c r="B149" i="5"/>
  <c r="E149" i="5" s="1"/>
  <c r="B155" i="5"/>
  <c r="E155" i="5" s="1"/>
  <c r="B161" i="5"/>
  <c r="E161" i="5" s="1"/>
  <c r="B167" i="5"/>
  <c r="E167" i="5" s="1"/>
  <c r="B173" i="5"/>
  <c r="E173" i="5" s="1"/>
  <c r="B179" i="5"/>
  <c r="E179" i="5" s="1"/>
  <c r="B185" i="5"/>
  <c r="E185" i="5" s="1"/>
  <c r="B191" i="5"/>
  <c r="E191" i="5" s="1"/>
  <c r="B197" i="5"/>
  <c r="E197" i="5" s="1"/>
  <c r="B203" i="5"/>
  <c r="E203" i="5" s="1"/>
  <c r="B209" i="5"/>
  <c r="E209" i="5" s="1"/>
  <c r="B215" i="5"/>
  <c r="E215" i="5" s="1"/>
  <c r="B221" i="5"/>
  <c r="E221" i="5" s="1"/>
  <c r="B227" i="5"/>
  <c r="E227" i="5" s="1"/>
  <c r="B233" i="5"/>
  <c r="E233" i="5" s="1"/>
  <c r="B239" i="5"/>
  <c r="E239" i="5" s="1"/>
  <c r="B245" i="5"/>
  <c r="E245" i="5" s="1"/>
  <c r="B251" i="5"/>
  <c r="E251" i="5" s="1"/>
  <c r="B257" i="5"/>
  <c r="E257" i="5" s="1"/>
  <c r="B263" i="5"/>
  <c r="E263" i="5" s="1"/>
  <c r="B269" i="5"/>
  <c r="E269" i="5" s="1"/>
  <c r="B275" i="5"/>
  <c r="E275" i="5" s="1"/>
  <c r="B281" i="5"/>
  <c r="E281" i="5" s="1"/>
  <c r="B287" i="5"/>
  <c r="E287" i="5" s="1"/>
  <c r="B18" i="5"/>
  <c r="B24" i="5"/>
  <c r="E24" i="5" s="1"/>
  <c r="B30" i="5"/>
  <c r="E30" i="5" s="1"/>
  <c r="B36" i="5"/>
  <c r="E36" i="5" s="1"/>
  <c r="B42" i="5"/>
  <c r="E42" i="5" s="1"/>
  <c r="B48" i="5"/>
  <c r="E48" i="5" s="1"/>
  <c r="B54" i="5"/>
  <c r="E54" i="5" s="1"/>
  <c r="B60" i="5"/>
  <c r="E60" i="5" s="1"/>
  <c r="B66" i="5"/>
  <c r="E66" i="5" s="1"/>
  <c r="B72" i="5"/>
  <c r="E72" i="5" s="1"/>
  <c r="B78" i="5"/>
  <c r="E78" i="5" s="1"/>
  <c r="B84" i="5"/>
  <c r="E84" i="5" s="1"/>
  <c r="B90" i="5"/>
  <c r="E90" i="5" s="1"/>
  <c r="B96" i="5"/>
  <c r="E96" i="5" s="1"/>
  <c r="B102" i="5"/>
  <c r="E102" i="5" s="1"/>
  <c r="B108" i="5"/>
  <c r="E108" i="5" s="1"/>
  <c r="B114" i="5"/>
  <c r="E114" i="5" s="1"/>
  <c r="B120" i="5"/>
  <c r="E120" i="5" s="1"/>
  <c r="B126" i="5"/>
  <c r="E126" i="5" s="1"/>
  <c r="B132" i="5"/>
  <c r="E132" i="5" s="1"/>
  <c r="B138" i="5"/>
  <c r="E138" i="5" s="1"/>
  <c r="B144" i="5"/>
  <c r="E144" i="5" s="1"/>
  <c r="B150" i="5"/>
  <c r="E150" i="5" s="1"/>
  <c r="B156" i="5"/>
  <c r="E156" i="5" s="1"/>
  <c r="B162" i="5"/>
  <c r="E162" i="5" s="1"/>
  <c r="B168" i="5"/>
  <c r="E168" i="5" s="1"/>
  <c r="B174" i="5"/>
  <c r="E174" i="5" s="1"/>
  <c r="B180" i="5"/>
  <c r="E180" i="5" s="1"/>
  <c r="B186" i="5"/>
  <c r="E186" i="5" s="1"/>
  <c r="B192" i="5"/>
  <c r="E192" i="5" s="1"/>
  <c r="B198" i="5"/>
  <c r="E198" i="5" s="1"/>
  <c r="B204" i="5"/>
  <c r="E204" i="5" s="1"/>
  <c r="B210" i="5"/>
  <c r="E210" i="5" s="1"/>
  <c r="B216" i="5"/>
  <c r="E216" i="5" s="1"/>
  <c r="B222" i="5"/>
  <c r="E222" i="5" s="1"/>
  <c r="B228" i="5"/>
  <c r="E228" i="5" s="1"/>
  <c r="B234" i="5"/>
  <c r="E234" i="5" s="1"/>
  <c r="B240" i="5"/>
  <c r="E240" i="5" s="1"/>
  <c r="B246" i="5"/>
  <c r="E246" i="5" s="1"/>
  <c r="B252" i="5"/>
  <c r="E252" i="5" s="1"/>
  <c r="B258" i="5"/>
  <c r="E258" i="5" s="1"/>
  <c r="B264" i="5"/>
  <c r="E264" i="5" s="1"/>
  <c r="B270" i="5"/>
  <c r="E270" i="5" s="1"/>
  <c r="B276" i="5"/>
  <c r="E276" i="5" s="1"/>
  <c r="B282" i="5"/>
  <c r="E282" i="5" s="1"/>
  <c r="B288" i="5"/>
  <c r="E288" i="5" s="1"/>
  <c r="B294" i="5"/>
  <c r="E294" i="5" s="1"/>
  <c r="B300" i="5"/>
  <c r="E300" i="5" s="1"/>
  <c r="B306" i="5"/>
  <c r="E306" i="5" s="1"/>
  <c r="B312" i="5"/>
  <c r="E312" i="5" s="1"/>
  <c r="B318" i="5"/>
  <c r="E318" i="5" s="1"/>
  <c r="B324" i="5"/>
  <c r="E324" i="5" s="1"/>
  <c r="B19" i="5"/>
  <c r="B25" i="5"/>
  <c r="E25" i="5" s="1"/>
  <c r="B31" i="5"/>
  <c r="E31" i="5" s="1"/>
  <c r="B37" i="5"/>
  <c r="E37" i="5" s="1"/>
  <c r="B43" i="5"/>
  <c r="E43" i="5" s="1"/>
  <c r="B49" i="5"/>
  <c r="E49" i="5" s="1"/>
  <c r="B55" i="5"/>
  <c r="E55" i="5" s="1"/>
  <c r="B61" i="5"/>
  <c r="E61" i="5" s="1"/>
  <c r="B67" i="5"/>
  <c r="E67" i="5" s="1"/>
  <c r="B73" i="5"/>
  <c r="E73" i="5" s="1"/>
  <c r="B20" i="5"/>
  <c r="B27" i="5"/>
  <c r="E27" i="5" s="1"/>
  <c r="B28" i="5"/>
  <c r="E28" i="5" s="1"/>
  <c r="B40" i="5"/>
  <c r="E40" i="5" s="1"/>
  <c r="B52" i="5"/>
  <c r="E52" i="5" s="1"/>
  <c r="B64" i="5"/>
  <c r="E64" i="5" s="1"/>
  <c r="B76" i="5"/>
  <c r="E76" i="5" s="1"/>
  <c r="B86" i="5"/>
  <c r="E86" i="5" s="1"/>
  <c r="B94" i="5"/>
  <c r="E94" i="5" s="1"/>
  <c r="B104" i="5"/>
  <c r="E104" i="5" s="1"/>
  <c r="B112" i="5"/>
  <c r="E112" i="5" s="1"/>
  <c r="B122" i="5"/>
  <c r="E122" i="5" s="1"/>
  <c r="B130" i="5"/>
  <c r="E130" i="5" s="1"/>
  <c r="B140" i="5"/>
  <c r="E140" i="5" s="1"/>
  <c r="B148" i="5"/>
  <c r="E148" i="5" s="1"/>
  <c r="B158" i="5"/>
  <c r="E158" i="5" s="1"/>
  <c r="B166" i="5"/>
  <c r="E166" i="5" s="1"/>
  <c r="B176" i="5"/>
  <c r="E176" i="5" s="1"/>
  <c r="B184" i="5"/>
  <c r="E184" i="5" s="1"/>
  <c r="B194" i="5"/>
  <c r="E194" i="5" s="1"/>
  <c r="B202" i="5"/>
  <c r="E202" i="5" s="1"/>
  <c r="B212" i="5"/>
  <c r="E212" i="5" s="1"/>
  <c r="B220" i="5"/>
  <c r="E220" i="5" s="1"/>
  <c r="B230" i="5"/>
  <c r="E230" i="5" s="1"/>
  <c r="B238" i="5"/>
  <c r="E238" i="5" s="1"/>
  <c r="B248" i="5"/>
  <c r="E248" i="5" s="1"/>
  <c r="B256" i="5"/>
  <c r="E256" i="5" s="1"/>
  <c r="B266" i="5"/>
  <c r="E266" i="5" s="1"/>
  <c r="B274" i="5"/>
  <c r="E274" i="5" s="1"/>
  <c r="B284" i="5"/>
  <c r="E284" i="5" s="1"/>
  <c r="B292" i="5"/>
  <c r="E292" i="5" s="1"/>
  <c r="B299" i="5"/>
  <c r="E299" i="5" s="1"/>
  <c r="B307" i="5"/>
  <c r="E307" i="5" s="1"/>
  <c r="B314" i="5"/>
  <c r="E314" i="5" s="1"/>
  <c r="B321" i="5"/>
  <c r="E321" i="5" s="1"/>
  <c r="B32" i="5"/>
  <c r="E32" i="5" s="1"/>
  <c r="B44" i="5"/>
  <c r="E44" i="5" s="1"/>
  <c r="B56" i="5"/>
  <c r="E56" i="5" s="1"/>
  <c r="B68" i="5"/>
  <c r="E68" i="5" s="1"/>
  <c r="B79" i="5"/>
  <c r="E79" i="5" s="1"/>
  <c r="B87" i="5"/>
  <c r="E87" i="5" s="1"/>
  <c r="B97" i="5"/>
  <c r="E97" i="5" s="1"/>
  <c r="B105" i="5"/>
  <c r="E105" i="5" s="1"/>
  <c r="B115" i="5"/>
  <c r="E115" i="5" s="1"/>
  <c r="B123" i="5"/>
  <c r="E123" i="5" s="1"/>
  <c r="B133" i="5"/>
  <c r="E133" i="5" s="1"/>
  <c r="B141" i="5"/>
  <c r="E141" i="5" s="1"/>
  <c r="B151" i="5"/>
  <c r="E151" i="5" s="1"/>
  <c r="B159" i="5"/>
  <c r="E159" i="5" s="1"/>
  <c r="B169" i="5"/>
  <c r="E169" i="5" s="1"/>
  <c r="B177" i="5"/>
  <c r="E177" i="5" s="1"/>
  <c r="B187" i="5"/>
  <c r="E187" i="5" s="1"/>
  <c r="B195" i="5"/>
  <c r="E195" i="5" s="1"/>
  <c r="B205" i="5"/>
  <c r="E205" i="5" s="1"/>
  <c r="B213" i="5"/>
  <c r="E213" i="5" s="1"/>
  <c r="B223" i="5"/>
  <c r="E223" i="5" s="1"/>
  <c r="B231" i="5"/>
  <c r="E231" i="5" s="1"/>
  <c r="B241" i="5"/>
  <c r="E241" i="5" s="1"/>
  <c r="B249" i="5"/>
  <c r="E249" i="5" s="1"/>
  <c r="B259" i="5"/>
  <c r="E259" i="5" s="1"/>
  <c r="B267" i="5"/>
  <c r="E267" i="5" s="1"/>
  <c r="B277" i="5"/>
  <c r="E277" i="5" s="1"/>
  <c r="B285" i="5"/>
  <c r="E285" i="5" s="1"/>
  <c r="B293" i="5"/>
  <c r="E293" i="5" s="1"/>
  <c r="B301" i="5"/>
  <c r="E301" i="5" s="1"/>
  <c r="B308" i="5"/>
  <c r="E308" i="5" s="1"/>
  <c r="B315" i="5"/>
  <c r="E315" i="5" s="1"/>
  <c r="B322" i="5"/>
  <c r="E322" i="5" s="1"/>
  <c r="B21" i="5"/>
  <c r="B33" i="5"/>
  <c r="E33" i="5" s="1"/>
  <c r="B45" i="5"/>
  <c r="E45" i="5" s="1"/>
  <c r="B57" i="5"/>
  <c r="E57" i="5" s="1"/>
  <c r="B69" i="5"/>
  <c r="E69" i="5" s="1"/>
  <c r="B22" i="5"/>
  <c r="E22" i="5" s="1"/>
  <c r="B50" i="5"/>
  <c r="E50" i="5" s="1"/>
  <c r="B74" i="5"/>
  <c r="E74" i="5" s="1"/>
  <c r="B88" i="5"/>
  <c r="E88" i="5" s="1"/>
  <c r="B100" i="5"/>
  <c r="E100" i="5" s="1"/>
  <c r="B116" i="5"/>
  <c r="E116" i="5" s="1"/>
  <c r="B128" i="5"/>
  <c r="E128" i="5" s="1"/>
  <c r="B142" i="5"/>
  <c r="E142" i="5" s="1"/>
  <c r="B154" i="5"/>
  <c r="E154" i="5" s="1"/>
  <c r="B170" i="5"/>
  <c r="E170" i="5" s="1"/>
  <c r="B182" i="5"/>
  <c r="E182" i="5" s="1"/>
  <c r="B208" i="5"/>
  <c r="E208" i="5" s="1"/>
  <c r="B224" i="5"/>
  <c r="E224" i="5" s="1"/>
  <c r="B250" i="5"/>
  <c r="E250" i="5" s="1"/>
  <c r="B278" i="5"/>
  <c r="E278" i="5" s="1"/>
  <c r="B290" i="5"/>
  <c r="E290" i="5" s="1"/>
  <c r="B311" i="5"/>
  <c r="E311" i="5" s="1"/>
  <c r="B323" i="5"/>
  <c r="E323" i="5" s="1"/>
  <c r="B26" i="5"/>
  <c r="E26" i="5" s="1"/>
  <c r="B51" i="5"/>
  <c r="E51" i="5" s="1"/>
  <c r="B75" i="5"/>
  <c r="E75" i="5" s="1"/>
  <c r="B91" i="5"/>
  <c r="E91" i="5" s="1"/>
  <c r="B103" i="5"/>
  <c r="E103" i="5" s="1"/>
  <c r="B117" i="5"/>
  <c r="E117" i="5" s="1"/>
  <c r="B129" i="5"/>
  <c r="E129" i="5" s="1"/>
  <c r="B145" i="5"/>
  <c r="E145" i="5" s="1"/>
  <c r="B157" i="5"/>
  <c r="E157" i="5" s="1"/>
  <c r="B171" i="5"/>
  <c r="E171" i="5" s="1"/>
  <c r="B183" i="5"/>
  <c r="E183" i="5" s="1"/>
  <c r="B199" i="5"/>
  <c r="E199" i="5" s="1"/>
  <c r="B211" i="5"/>
  <c r="E211" i="5" s="1"/>
  <c r="B225" i="5"/>
  <c r="E225" i="5" s="1"/>
  <c r="B237" i="5"/>
  <c r="E237" i="5" s="1"/>
  <c r="B253" i="5"/>
  <c r="E253" i="5" s="1"/>
  <c r="B265" i="5"/>
  <c r="E265" i="5" s="1"/>
  <c r="B279" i="5"/>
  <c r="E279" i="5" s="1"/>
  <c r="B291" i="5"/>
  <c r="E291" i="5" s="1"/>
  <c r="B303" i="5"/>
  <c r="E303" i="5" s="1"/>
  <c r="B313" i="5"/>
  <c r="E313" i="5" s="1"/>
  <c r="B325" i="5"/>
  <c r="E325" i="5" s="1"/>
  <c r="B34" i="5"/>
  <c r="E34" i="5" s="1"/>
  <c r="B58" i="5"/>
  <c r="E58" i="5" s="1"/>
  <c r="B80" i="5"/>
  <c r="E80" i="5" s="1"/>
  <c r="B92" i="5"/>
  <c r="E92" i="5" s="1"/>
  <c r="B106" i="5"/>
  <c r="E106" i="5" s="1"/>
  <c r="B118" i="5"/>
  <c r="E118" i="5" s="1"/>
  <c r="B134" i="5"/>
  <c r="E134" i="5" s="1"/>
  <c r="B146" i="5"/>
  <c r="E146" i="5" s="1"/>
  <c r="B160" i="5"/>
  <c r="E160" i="5" s="1"/>
  <c r="B172" i="5"/>
  <c r="E172" i="5" s="1"/>
  <c r="B188" i="5"/>
  <c r="E188" i="5" s="1"/>
  <c r="B200" i="5"/>
  <c r="E200" i="5" s="1"/>
  <c r="B214" i="5"/>
  <c r="E214" i="5" s="1"/>
  <c r="B226" i="5"/>
  <c r="E226" i="5" s="1"/>
  <c r="B242" i="5"/>
  <c r="E242" i="5" s="1"/>
  <c r="B254" i="5"/>
  <c r="E254" i="5" s="1"/>
  <c r="B268" i="5"/>
  <c r="E268" i="5" s="1"/>
  <c r="B280" i="5"/>
  <c r="E280" i="5" s="1"/>
  <c r="B295" i="5"/>
  <c r="E295" i="5" s="1"/>
  <c r="B304" i="5"/>
  <c r="E304" i="5" s="1"/>
  <c r="B316" i="5"/>
  <c r="E316" i="5" s="1"/>
  <c r="B326" i="5"/>
  <c r="E326" i="5" s="1"/>
  <c r="B38" i="5"/>
  <c r="E38" i="5" s="1"/>
  <c r="B62" i="5"/>
  <c r="E62" i="5" s="1"/>
  <c r="B81" i="5"/>
  <c r="E81" i="5" s="1"/>
  <c r="B93" i="5"/>
  <c r="E93" i="5" s="1"/>
  <c r="B109" i="5"/>
  <c r="E109" i="5" s="1"/>
  <c r="B121" i="5"/>
  <c r="E121" i="5" s="1"/>
  <c r="B135" i="5"/>
  <c r="E135" i="5" s="1"/>
  <c r="B147" i="5"/>
  <c r="E147" i="5" s="1"/>
  <c r="B163" i="5"/>
  <c r="E163" i="5" s="1"/>
  <c r="B175" i="5"/>
  <c r="E175" i="5" s="1"/>
  <c r="B189" i="5"/>
  <c r="E189" i="5" s="1"/>
  <c r="B201" i="5"/>
  <c r="E201" i="5" s="1"/>
  <c r="B217" i="5"/>
  <c r="E217" i="5" s="1"/>
  <c r="B229" i="5"/>
  <c r="E229" i="5" s="1"/>
  <c r="B243" i="5"/>
  <c r="E243" i="5" s="1"/>
  <c r="B255" i="5"/>
  <c r="E255" i="5" s="1"/>
  <c r="B271" i="5"/>
  <c r="E271" i="5" s="1"/>
  <c r="B283" i="5"/>
  <c r="E283" i="5" s="1"/>
  <c r="B296" i="5"/>
  <c r="E296" i="5" s="1"/>
  <c r="B305" i="5"/>
  <c r="E305" i="5" s="1"/>
  <c r="B317" i="5"/>
  <c r="E317" i="5" s="1"/>
  <c r="B39" i="5"/>
  <c r="E39" i="5" s="1"/>
  <c r="B63" i="5"/>
  <c r="E63" i="5" s="1"/>
  <c r="B82" i="5"/>
  <c r="E82" i="5" s="1"/>
  <c r="B98" i="5"/>
  <c r="E98" i="5" s="1"/>
  <c r="B110" i="5"/>
  <c r="E110" i="5" s="1"/>
  <c r="B124" i="5"/>
  <c r="E124" i="5" s="1"/>
  <c r="B136" i="5"/>
  <c r="E136" i="5" s="1"/>
  <c r="B152" i="5"/>
  <c r="E152" i="5" s="1"/>
  <c r="B164" i="5"/>
  <c r="E164" i="5" s="1"/>
  <c r="B178" i="5"/>
  <c r="E178" i="5" s="1"/>
  <c r="B190" i="5"/>
  <c r="E190" i="5" s="1"/>
  <c r="B206" i="5"/>
  <c r="E206" i="5" s="1"/>
  <c r="B218" i="5"/>
  <c r="E218" i="5" s="1"/>
  <c r="B232" i="5"/>
  <c r="E232" i="5" s="1"/>
  <c r="B244" i="5"/>
  <c r="E244" i="5" s="1"/>
  <c r="B260" i="5"/>
  <c r="E260" i="5" s="1"/>
  <c r="B272" i="5"/>
  <c r="E272" i="5" s="1"/>
  <c r="B286" i="5"/>
  <c r="E286" i="5" s="1"/>
  <c r="B297" i="5"/>
  <c r="E297" i="5" s="1"/>
  <c r="B309" i="5"/>
  <c r="E309" i="5" s="1"/>
  <c r="B319" i="5"/>
  <c r="E319" i="5" s="1"/>
  <c r="B46" i="5"/>
  <c r="E46" i="5" s="1"/>
  <c r="B70" i="5"/>
  <c r="E70" i="5" s="1"/>
  <c r="B85" i="5"/>
  <c r="E85" i="5" s="1"/>
  <c r="B99" i="5"/>
  <c r="E99" i="5" s="1"/>
  <c r="B111" i="5"/>
  <c r="E111" i="5" s="1"/>
  <c r="B127" i="5"/>
  <c r="E127" i="5" s="1"/>
  <c r="B139" i="5"/>
  <c r="E139" i="5" s="1"/>
  <c r="B153" i="5"/>
  <c r="E153" i="5" s="1"/>
  <c r="B165" i="5"/>
  <c r="E165" i="5" s="1"/>
  <c r="B181" i="5"/>
  <c r="E181" i="5" s="1"/>
  <c r="B193" i="5"/>
  <c r="E193" i="5" s="1"/>
  <c r="B207" i="5"/>
  <c r="E207" i="5" s="1"/>
  <c r="B219" i="5"/>
  <c r="E219" i="5" s="1"/>
  <c r="B235" i="5"/>
  <c r="E235" i="5" s="1"/>
  <c r="B247" i="5"/>
  <c r="E247" i="5" s="1"/>
  <c r="B261" i="5"/>
  <c r="E261" i="5" s="1"/>
  <c r="B273" i="5"/>
  <c r="E273" i="5" s="1"/>
  <c r="B289" i="5"/>
  <c r="E289" i="5" s="1"/>
  <c r="B298" i="5"/>
  <c r="E298" i="5" s="1"/>
  <c r="B310" i="5"/>
  <c r="E310" i="5" s="1"/>
  <c r="B320" i="5"/>
  <c r="E320" i="5" s="1"/>
  <c r="B196" i="5"/>
  <c r="E196" i="5" s="1"/>
  <c r="B236" i="5"/>
  <c r="E236" i="5" s="1"/>
  <c r="B262" i="5"/>
  <c r="E262" i="5" s="1"/>
  <c r="B302" i="5"/>
  <c r="E302" i="5" s="1"/>
  <c r="B7" i="5"/>
  <c r="B13" i="5"/>
  <c r="B14" i="5"/>
  <c r="B8" i="5"/>
  <c r="B9" i="5"/>
  <c r="B12" i="5"/>
  <c r="B10" i="5"/>
  <c r="B11" i="5"/>
  <c r="E11" i="5" l="1"/>
  <c r="E10" i="5"/>
  <c r="E21" i="5"/>
  <c r="E20" i="5"/>
  <c r="E17" i="5"/>
  <c r="E14" i="5"/>
  <c r="E13" i="5"/>
  <c r="E16" i="5"/>
  <c r="E8" i="5"/>
  <c r="E12" i="5"/>
  <c r="E9" i="5"/>
  <c r="E7" i="5"/>
  <c r="E19" i="5"/>
  <c r="E18" i="5"/>
  <c r="E1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<sst xmlns="http://schemas.openxmlformats.org/spreadsheetml/2006/main" count="2282" uniqueCount="940">
  <si>
    <t>学校コード一覧表</t>
    <rPh sb="0" eb="2">
      <t>ガッコウ</t>
    </rPh>
    <rPh sb="5" eb="8">
      <t>イチランヒョウ</t>
    </rPh>
    <phoneticPr fontId="4"/>
  </si>
  <si>
    <t>コード番号</t>
    <rPh sb="3" eb="5">
      <t>バンゴウ</t>
    </rPh>
    <phoneticPr fontId="4"/>
  </si>
  <si>
    <t>事務所名</t>
    <rPh sb="0" eb="3">
      <t>ジムショ</t>
    </rPh>
    <rPh sb="3" eb="4">
      <t>メイ</t>
    </rPh>
    <phoneticPr fontId="4"/>
  </si>
  <si>
    <t>教育委員会名</t>
    <rPh sb="0" eb="2">
      <t>キョウイク</t>
    </rPh>
    <rPh sb="2" eb="5">
      <t>イインカイ</t>
    </rPh>
    <rPh sb="5" eb="6">
      <t>メイ</t>
    </rPh>
    <phoneticPr fontId="4"/>
  </si>
  <si>
    <t>小学校名</t>
    <rPh sb="0" eb="3">
      <t>ショウガッコウ</t>
    </rPh>
    <rPh sb="3" eb="4">
      <t>メイ</t>
    </rPh>
    <phoneticPr fontId="4"/>
  </si>
  <si>
    <t>盛岡</t>
  </si>
  <si>
    <t>盛岡市</t>
  </si>
  <si>
    <t>盛岡市立仁王小学校</t>
  </si>
  <si>
    <t>盛岡市立城南小学校</t>
  </si>
  <si>
    <t>盛岡市立桜城小学校</t>
  </si>
  <si>
    <t>盛岡市立厨川小学校</t>
  </si>
  <si>
    <t>盛岡市立仙北小学校</t>
  </si>
  <si>
    <t>盛岡市立杜陵小学校</t>
  </si>
  <si>
    <t>盛岡市立山岸小学校</t>
  </si>
  <si>
    <t>盛岡市立大慈寺小学校</t>
  </si>
  <si>
    <t>盛岡市立米内小学校</t>
  </si>
  <si>
    <t>盛岡市立土淵小学校</t>
  </si>
  <si>
    <t>盛岡市立中野小学校</t>
  </si>
  <si>
    <t>盛岡市立本宮小学校</t>
  </si>
  <si>
    <t>盛岡市立青山小学校</t>
  </si>
  <si>
    <t>盛岡市立北厨川小学校</t>
  </si>
  <si>
    <t>盛岡市立河北小学校</t>
  </si>
  <si>
    <t>盛岡市立上田小学校</t>
  </si>
  <si>
    <t>盛岡市立山王小学校</t>
  </si>
  <si>
    <t>盛岡市立緑が丘小学校</t>
  </si>
  <si>
    <t>盛岡市立太田小学校</t>
  </si>
  <si>
    <t>盛岡市立太田東小学校</t>
  </si>
  <si>
    <t>盛岡市立城北小学校</t>
  </si>
  <si>
    <t>盛岡市立大新小学校</t>
  </si>
  <si>
    <t>盛岡市立松園小学校</t>
  </si>
  <si>
    <t>盛岡市立月が丘小学校</t>
  </si>
  <si>
    <t>盛岡市立高松小学校</t>
  </si>
  <si>
    <t>盛岡市立東松園小学校</t>
  </si>
  <si>
    <t>盛岡市立見前小学校</t>
  </si>
  <si>
    <t>盛岡市立飯岡小学校</t>
  </si>
  <si>
    <t>盛岡市立羽場小学校</t>
  </si>
  <si>
    <t>盛岡市立永井小学校</t>
  </si>
  <si>
    <t>盛岡市立手代森小学校</t>
  </si>
  <si>
    <t>盛岡市立津志田小学校</t>
  </si>
  <si>
    <t>盛岡市立向中野小学校</t>
  </si>
  <si>
    <t>盛岡市立見前南小学校</t>
  </si>
  <si>
    <t>盛岡市立都南東小学校</t>
  </si>
  <si>
    <t>盛岡市立北松園小学校</t>
  </si>
  <si>
    <t>R8玉山小と統合</t>
    <rPh sb="2" eb="4">
      <t>タマヤマ</t>
    </rPh>
    <rPh sb="4" eb="5">
      <t>ショウ</t>
    </rPh>
    <rPh sb="6" eb="8">
      <t>トウゴウ</t>
    </rPh>
    <phoneticPr fontId="4"/>
  </si>
  <si>
    <t>盛岡市立玉山小学校</t>
  </si>
  <si>
    <t>R8廃止</t>
    <rPh sb="2" eb="4">
      <t>ハイシ</t>
    </rPh>
    <phoneticPr fontId="4"/>
  </si>
  <si>
    <t>盛岡市立渋民小学校</t>
  </si>
  <si>
    <t>盛岡市立巻堀小学校</t>
  </si>
  <si>
    <t>盛岡市立好摩小学校</t>
  </si>
  <si>
    <t>岩手町</t>
  </si>
  <si>
    <t>岩手町立沼宮内小学校</t>
  </si>
  <si>
    <t>岩手町立川口小学校</t>
  </si>
  <si>
    <t>岩手町立一方井小学校</t>
  </si>
  <si>
    <t>雫石町</t>
  </si>
  <si>
    <t>雫石町立雫石小学校</t>
  </si>
  <si>
    <t>雫石町立七ツ森小学校</t>
  </si>
  <si>
    <t>雫石町立西山小学校</t>
  </si>
  <si>
    <t>雫石町立御明神小学校</t>
  </si>
  <si>
    <t>雫石町立御所小学校</t>
  </si>
  <si>
    <t>葛巻町</t>
  </si>
  <si>
    <t>葛巻町立葛巻小学校</t>
  </si>
  <si>
    <t>葛巻町立小屋瀬小学校</t>
  </si>
  <si>
    <t>葛巻町立江刈小学校</t>
  </si>
  <si>
    <t>葛巻町立五日市小学校</t>
  </si>
  <si>
    <t>滝沢市</t>
  </si>
  <si>
    <t>滝沢市立篠木小学校</t>
  </si>
  <si>
    <t>滝沢市立滝沢小学校</t>
  </si>
  <si>
    <t>滝沢市立滝沢第二小学校</t>
  </si>
  <si>
    <t>滝沢市立滝沢東小学校</t>
  </si>
  <si>
    <t>滝沢市立鵜飼小学校</t>
  </si>
  <si>
    <t>滝沢市立一本木小学校</t>
  </si>
  <si>
    <t>滝沢市立姥屋敷小学校</t>
  </si>
  <si>
    <t>滝沢市立柳沢小学校</t>
  </si>
  <si>
    <t>盛岡</t>
    <phoneticPr fontId="4"/>
  </si>
  <si>
    <t>滝沢市</t>
    <phoneticPr fontId="4"/>
  </si>
  <si>
    <t>滝沢市立滝沢中央小学校</t>
    <rPh sb="0" eb="4">
      <t>タキザワシリツ</t>
    </rPh>
    <rPh sb="4" eb="6">
      <t>タキザワ</t>
    </rPh>
    <rPh sb="6" eb="8">
      <t>チュウオウ</t>
    </rPh>
    <rPh sb="8" eb="11">
      <t>ショウガッコウ</t>
    </rPh>
    <phoneticPr fontId="4"/>
  </si>
  <si>
    <t>紫波町</t>
  </si>
  <si>
    <t>紫波町立日詰小学校</t>
  </si>
  <si>
    <t>紫波町立赤石小学校</t>
  </si>
  <si>
    <t>紫波町立古館小学校</t>
  </si>
  <si>
    <t>紫波町立西の杜小学校</t>
    <rPh sb="4" eb="5">
      <t>ニシ</t>
    </rPh>
    <rPh sb="6" eb="7">
      <t>モリ</t>
    </rPh>
    <phoneticPr fontId="4"/>
  </si>
  <si>
    <t>紫波町立紫波東小学校</t>
    <rPh sb="4" eb="6">
      <t>シワ</t>
    </rPh>
    <rPh sb="6" eb="7">
      <t>ヒガシ</t>
    </rPh>
    <phoneticPr fontId="4"/>
  </si>
  <si>
    <t>矢巾町</t>
  </si>
  <si>
    <t>矢巾町立徳田小学校</t>
  </si>
  <si>
    <t>矢巾町立煙山小学校</t>
  </si>
  <si>
    <t>矢巾町立不動小学校</t>
  </si>
  <si>
    <t>矢巾町立矢巾東小学校</t>
  </si>
  <si>
    <t>八幡平市</t>
  </si>
  <si>
    <t>八幡平市立大更小学校</t>
  </si>
  <si>
    <t>八幡平市立田頭小学校</t>
  </si>
  <si>
    <t>八幡平市立平笠小学校</t>
  </si>
  <si>
    <t>八幡平市立平舘小学校</t>
  </si>
  <si>
    <t>八幡平市立寺田小学校</t>
  </si>
  <si>
    <t>八幡平市立松野小学校</t>
  </si>
  <si>
    <t>八幡平市立寄木小学校</t>
  </si>
  <si>
    <t>八幡平市立柏台小学校</t>
  </si>
  <si>
    <t>八幡平市立安代小学校</t>
  </si>
  <si>
    <t>八幡平市立田山小学校</t>
  </si>
  <si>
    <t>中部</t>
  </si>
  <si>
    <t>花巻市</t>
  </si>
  <si>
    <t>花巻市立花巻小学校</t>
  </si>
  <si>
    <t>花巻市立若葉小学校</t>
  </si>
  <si>
    <t>花巻市立桜台小学校</t>
  </si>
  <si>
    <t>花巻市立南城小学校</t>
  </si>
  <si>
    <t>花巻市立湯口小学校</t>
  </si>
  <si>
    <t>花巻市立湯本小学校</t>
  </si>
  <si>
    <t>花巻市立矢沢小学校</t>
  </si>
  <si>
    <t>花巻市立宮野目小学校</t>
  </si>
  <si>
    <t>花巻市立太田小学校</t>
  </si>
  <si>
    <t>花巻市立笹間第一小学校</t>
  </si>
  <si>
    <t>花巻市立大迫小学校</t>
  </si>
  <si>
    <t>花巻市立石鳥谷小学校</t>
  </si>
  <si>
    <t>花巻市立新堀小学校</t>
  </si>
  <si>
    <t>花巻市立八幡小学校</t>
  </si>
  <si>
    <t>花巻市立八重畑小学校</t>
  </si>
  <si>
    <t>花巻市立東和小学校</t>
  </si>
  <si>
    <t>遠野市</t>
  </si>
  <si>
    <t>遠野市立遠野小学校</t>
  </si>
  <si>
    <t>遠野市立遠野北小学校</t>
  </si>
  <si>
    <t>遠野市立綾織小学校</t>
  </si>
  <si>
    <t>遠野市立小友小学校</t>
  </si>
  <si>
    <t>遠野市立附馬牛小学校</t>
  </si>
  <si>
    <t>遠野市立土淵小学校</t>
  </si>
  <si>
    <t>遠野市立青笹小学校</t>
  </si>
  <si>
    <t>遠野市立上郷小学校</t>
  </si>
  <si>
    <t>遠野市立宮守小学校</t>
  </si>
  <si>
    <t>遠野市立鱒沢小学校</t>
  </si>
  <si>
    <t>遠野市立達曽部小学校</t>
  </si>
  <si>
    <t>北上市</t>
  </si>
  <si>
    <t>北上市立黒沢尻北小学校</t>
  </si>
  <si>
    <t>北上市立黒沢尻東小学校</t>
  </si>
  <si>
    <t>北上市立黒沢尻西小学校</t>
  </si>
  <si>
    <t>北上市立東桜小学校</t>
    <rPh sb="0" eb="4">
      <t>キタカミシリツ</t>
    </rPh>
    <rPh sb="6" eb="9">
      <t>ショウガッコウ</t>
    </rPh>
    <phoneticPr fontId="4"/>
  </si>
  <si>
    <t>北上市立飯豊小学校</t>
  </si>
  <si>
    <t>北上市立二子小学校</t>
  </si>
  <si>
    <t>北上市立更木小学校</t>
  </si>
  <si>
    <t>北上市立南小学校</t>
  </si>
  <si>
    <t>北上市立鬼柳小学校</t>
  </si>
  <si>
    <t>北上市立江釣子小学校</t>
  </si>
  <si>
    <t>北上市立和賀西小学校</t>
  </si>
  <si>
    <t>北上市立笠松小学校</t>
  </si>
  <si>
    <t>北上市立いわさき小学校</t>
  </si>
  <si>
    <t>北上市立和賀東小学校</t>
  </si>
  <si>
    <t>西和賀町</t>
  </si>
  <si>
    <t>西和賀町立湯田小学校</t>
  </si>
  <si>
    <t>西和賀町立沢内小学校</t>
  </si>
  <si>
    <t>県南</t>
  </si>
  <si>
    <t>奥州市</t>
  </si>
  <si>
    <t>奥州市立水沢小学校</t>
  </si>
  <si>
    <t>奥州市立水沢南小学校</t>
  </si>
  <si>
    <t>奥州市立常盤小学校</t>
  </si>
  <si>
    <t>奥州市立佐倉河小学校</t>
  </si>
  <si>
    <t>奥州市立真城小学校</t>
  </si>
  <si>
    <t>奥州市立姉体小学校</t>
  </si>
  <si>
    <t>奥州市立羽田小学校</t>
  </si>
  <si>
    <t>奥州市立岩谷堂小学校</t>
  </si>
  <si>
    <t>奥州市立江刺愛宕小学校</t>
  </si>
  <si>
    <t>奥州市立田原小学校</t>
  </si>
  <si>
    <t>奥州市立江刺ひがし小学校</t>
    <rPh sb="4" eb="6">
      <t>エサシ</t>
    </rPh>
    <phoneticPr fontId="3"/>
  </si>
  <si>
    <t>奥州市立稲瀬小学校</t>
  </si>
  <si>
    <t>奥州市立前沢小学校</t>
  </si>
  <si>
    <t>奥州市立胆沢第一小学校</t>
  </si>
  <si>
    <t>奥州市立南都田小学校</t>
  </si>
  <si>
    <t>奥州市立若柳小学校</t>
  </si>
  <si>
    <t>奥州市立衣川小学校</t>
  </si>
  <si>
    <t>奥州市立衣里小学校</t>
  </si>
  <si>
    <t>金ケ崎町</t>
  </si>
  <si>
    <t>金ケ崎町立金ケ崎小学校</t>
  </si>
  <si>
    <t>金ケ崎町立三ケ尻小学校</t>
  </si>
  <si>
    <t>金ケ崎町立第一小学校</t>
  </si>
  <si>
    <t>金ケ崎町立西小学校</t>
  </si>
  <si>
    <t>金ケ崎町立永岡小学校</t>
  </si>
  <si>
    <t>一関市</t>
  </si>
  <si>
    <t>一関市立一関小学校</t>
  </si>
  <si>
    <t>一関市立山目小学校</t>
  </si>
  <si>
    <t>一関市立赤荻小学校</t>
  </si>
  <si>
    <t>一関市立中里小学校</t>
  </si>
  <si>
    <t>一関市立滝沢小学校</t>
  </si>
  <si>
    <t>一関市立南小学校</t>
  </si>
  <si>
    <t>一関市立弥栄小学校</t>
  </si>
  <si>
    <t>一関市立萩荘小学校</t>
  </si>
  <si>
    <t>一関市立厳美小学校</t>
  </si>
  <si>
    <t>一関市立舞川小学校</t>
  </si>
  <si>
    <t>一関市立花泉小学校</t>
  </si>
  <si>
    <t>一関市立千厩小学校</t>
  </si>
  <si>
    <t>一関市立大原小学校</t>
  </si>
  <si>
    <t>一関市立大東小学校</t>
  </si>
  <si>
    <t>一関市立興田小学校</t>
  </si>
  <si>
    <t>一関市立猿沢小学校</t>
  </si>
  <si>
    <t>一関市立藤沢小学校</t>
  </si>
  <si>
    <t>一関市立黄海小学校</t>
  </si>
  <si>
    <t>一関市立東山小学校</t>
  </si>
  <si>
    <t>一関市立室根小学校</t>
    <phoneticPr fontId="4"/>
  </si>
  <si>
    <t>一関市立川崎小学校</t>
  </si>
  <si>
    <t>平泉町</t>
  </si>
  <si>
    <t>平泉町立平泉小学校</t>
  </si>
  <si>
    <t>平泉町立長島小学校</t>
  </si>
  <si>
    <t>沿岸南部</t>
  </si>
  <si>
    <t>大船渡市</t>
  </si>
  <si>
    <t>大船渡市立盛小学校</t>
  </si>
  <si>
    <t>大船渡市立大船渡小学校</t>
  </si>
  <si>
    <t>大船渡市立末崎小学校</t>
  </si>
  <si>
    <t>大船渡市立赤崎小学校</t>
  </si>
  <si>
    <t>大船渡市立猪川小学校</t>
  </si>
  <si>
    <t>大船渡市立立根小学校</t>
  </si>
  <si>
    <t>大船渡市立日頃市小学校</t>
  </si>
  <si>
    <t>大船渡市立大船渡北小学校</t>
  </si>
  <si>
    <t>大船渡市立綾里小学校</t>
  </si>
  <si>
    <t>大船渡市立越喜来小学校</t>
  </si>
  <si>
    <t>大船渡市立吉浜小学校</t>
  </si>
  <si>
    <t>陸前高田市</t>
  </si>
  <si>
    <t>陸前高田市立高田小学校</t>
  </si>
  <si>
    <t>陸前高田市立気仙小学校</t>
  </si>
  <si>
    <t>陸前高田市立広田小学校</t>
  </si>
  <si>
    <t>陸前高田市立小友小学校</t>
  </si>
  <si>
    <t>陸前高田市立米崎小学校</t>
  </si>
  <si>
    <t>陸前高田市立矢作小学校</t>
  </si>
  <si>
    <t>陸前高田市立竹駒小学校</t>
  </si>
  <si>
    <t>陸前高田市立横田小学校</t>
  </si>
  <si>
    <t>住田町</t>
  </si>
  <si>
    <t>住田町立世田米小学校</t>
  </si>
  <si>
    <t>住田町立有住小学校</t>
  </si>
  <si>
    <t>釜石市</t>
  </si>
  <si>
    <t>釜石市立釜石小学校</t>
  </si>
  <si>
    <t>釜石市立双葉小学校</t>
  </si>
  <si>
    <t>釜石市立白山小学校</t>
  </si>
  <si>
    <t>釜石市立平田小学校</t>
  </si>
  <si>
    <t>釜石市立唐丹小学校</t>
  </si>
  <si>
    <t>釜石市立小佐野小学校</t>
  </si>
  <si>
    <t>釜石市立甲子小学校</t>
  </si>
  <si>
    <t>釜石市立鵜住居小学校</t>
  </si>
  <si>
    <t>釜石市立栗林小学校</t>
  </si>
  <si>
    <t>大槌町</t>
  </si>
  <si>
    <t>大槌町立大槌学園（前期課程）</t>
    <rPh sb="9" eb="13">
      <t>ゼンキカテイ</t>
    </rPh>
    <phoneticPr fontId="4"/>
  </si>
  <si>
    <t>大槌町立吉里吉里小学校</t>
  </si>
  <si>
    <t>宮古</t>
  </si>
  <si>
    <t>宮古市</t>
  </si>
  <si>
    <t>宮古市立宮古小学校</t>
  </si>
  <si>
    <t>宮古市立鍬ケ崎小学校</t>
  </si>
  <si>
    <t>宮古市立磯鶏小学校</t>
  </si>
  <si>
    <t>R8高浜小と統合</t>
    <rPh sb="2" eb="4">
      <t>タカハマ</t>
    </rPh>
    <rPh sb="4" eb="5">
      <t>ショウ</t>
    </rPh>
    <rPh sb="6" eb="8">
      <t>トウゴウ</t>
    </rPh>
    <phoneticPr fontId="4"/>
  </si>
  <si>
    <t>宮古市立山口小学校</t>
  </si>
  <si>
    <t>宮古市立千徳小学校</t>
  </si>
  <si>
    <t>宮古市立高浜小学校</t>
  </si>
  <si>
    <t>宮古市立花輪小学校</t>
  </si>
  <si>
    <t>宮古市立津軽石小学校</t>
  </si>
  <si>
    <t>宮古市立重茂小学校</t>
  </si>
  <si>
    <t>宮古市立崎山小学校</t>
  </si>
  <si>
    <t>宮古市立田老第一小学校</t>
  </si>
  <si>
    <t>宮古市立新里小学校</t>
  </si>
  <si>
    <t>宮古市立川井小学校</t>
  </si>
  <si>
    <t>山田町</t>
  </si>
  <si>
    <t>山田町立豊間根小学校</t>
  </si>
  <si>
    <t>山田町立山田小学校</t>
    <phoneticPr fontId="4"/>
  </si>
  <si>
    <t>岩泉町</t>
  </si>
  <si>
    <t>岩泉町立岩泉小学校</t>
  </si>
  <si>
    <t>岩泉町立小川小学校</t>
  </si>
  <si>
    <t>岩泉町立有芸小学校</t>
  </si>
  <si>
    <t>岩泉町立小本小学校</t>
  </si>
  <si>
    <t>田野畑村</t>
  </si>
  <si>
    <t>田野畑村立田野畑小学校</t>
  </si>
  <si>
    <t>県北</t>
  </si>
  <si>
    <t>久慈市</t>
  </si>
  <si>
    <t>久慈市立久慈小学校</t>
  </si>
  <si>
    <t>久慈市立久慈湊小学校</t>
  </si>
  <si>
    <t>久慈市立長内小学校</t>
  </si>
  <si>
    <t>久慈市立小久慈小学校</t>
  </si>
  <si>
    <t>久慈市立大川目小学校</t>
  </si>
  <si>
    <t>久慈市立夏井小学校</t>
  </si>
  <si>
    <t>久慈市立平山小学校</t>
  </si>
  <si>
    <t>久慈市立侍浜小学校</t>
  </si>
  <si>
    <t>久慈市立宇部小学校</t>
  </si>
  <si>
    <t>久慈市立久喜小学校</t>
  </si>
  <si>
    <t>久慈市立小袖小学校</t>
  </si>
  <si>
    <t>久慈市立山形小学校</t>
  </si>
  <si>
    <t>R8来内小と統合</t>
    <rPh sb="2" eb="3">
      <t>ク</t>
    </rPh>
    <rPh sb="3" eb="4">
      <t>ナイ</t>
    </rPh>
    <rPh sb="4" eb="5">
      <t>ショウ</t>
    </rPh>
    <rPh sb="6" eb="8">
      <t>トウゴウ</t>
    </rPh>
    <phoneticPr fontId="4"/>
  </si>
  <si>
    <t>久慈市立来内小学校</t>
  </si>
  <si>
    <t>洋野町</t>
  </si>
  <si>
    <t>洋野町立種市小学校</t>
  </si>
  <si>
    <t>洋野町立角浜小学校</t>
  </si>
  <si>
    <t>洋野町立宿戸小学校</t>
  </si>
  <si>
    <t>洋野町立中野小学校</t>
  </si>
  <si>
    <t>洋野町立大野小学校</t>
  </si>
  <si>
    <t>R8林郷小・帯島小と統合</t>
    <rPh sb="2" eb="3">
      <t>ハヤシ</t>
    </rPh>
    <rPh sb="3" eb="4">
      <t>サト</t>
    </rPh>
    <rPh sb="4" eb="5">
      <t>ショウ</t>
    </rPh>
    <rPh sb="6" eb="8">
      <t>タイシマ</t>
    </rPh>
    <rPh sb="8" eb="9">
      <t>ショウ</t>
    </rPh>
    <rPh sb="10" eb="12">
      <t>トウゴウ</t>
    </rPh>
    <phoneticPr fontId="4"/>
  </si>
  <si>
    <t>洋野町立林郷小学校</t>
  </si>
  <si>
    <t>洋野町立帯島小学校</t>
  </si>
  <si>
    <t>野田村</t>
  </si>
  <si>
    <t>野田村立野田小学校</t>
  </si>
  <si>
    <t>普代村</t>
  </si>
  <si>
    <t>普代村立普代小学校</t>
  </si>
  <si>
    <t>二戸市</t>
  </si>
  <si>
    <t>二戸市立福岡小学校</t>
  </si>
  <si>
    <t>二戸市立仁左平小学校</t>
  </si>
  <si>
    <t>二戸市立中央小学校</t>
  </si>
  <si>
    <t>二戸市立二戸西小学校</t>
  </si>
  <si>
    <t>二戸市立石切所小学校</t>
  </si>
  <si>
    <t>二戸市立御返地小学校</t>
  </si>
  <si>
    <t>二戸市立金田一小学校</t>
  </si>
  <si>
    <t>二戸市立浄法寺小学校</t>
  </si>
  <si>
    <t>一戸町</t>
  </si>
  <si>
    <t>一戸町立一戸小学校</t>
  </si>
  <si>
    <t>一戸町立一戸南小学校</t>
  </si>
  <si>
    <t>一戸町立奥中山小学校</t>
  </si>
  <si>
    <t>軽米町</t>
  </si>
  <si>
    <t>軽米町立軽米小学校</t>
  </si>
  <si>
    <t>軽米町立小軽米小学校</t>
  </si>
  <si>
    <t>軽米町立晴山小学校</t>
  </si>
  <si>
    <t>九戸村</t>
  </si>
  <si>
    <t>九戸村立九戸小学校</t>
    <rPh sb="0" eb="2">
      <t>クノヘ</t>
    </rPh>
    <rPh sb="2" eb="4">
      <t>ソンリツ</t>
    </rPh>
    <rPh sb="4" eb="6">
      <t>クノヘ</t>
    </rPh>
    <rPh sb="6" eb="9">
      <t>ショウガッコウ</t>
    </rPh>
    <phoneticPr fontId="4"/>
  </si>
  <si>
    <t>国独</t>
    <rPh sb="0" eb="1">
      <t>コク</t>
    </rPh>
    <rPh sb="1" eb="2">
      <t>ドク</t>
    </rPh>
    <phoneticPr fontId="4"/>
  </si>
  <si>
    <t xml:space="preserve"> </t>
  </si>
  <si>
    <t>岩手大学教育学部附属特別支援学校</t>
    <rPh sb="0" eb="2">
      <t>イワテ</t>
    </rPh>
    <rPh sb="2" eb="4">
      <t>ダイガク</t>
    </rPh>
    <rPh sb="4" eb="6">
      <t>キョウイク</t>
    </rPh>
    <rPh sb="6" eb="8">
      <t>ガクブ</t>
    </rPh>
    <rPh sb="8" eb="10">
      <t>フゾク</t>
    </rPh>
    <rPh sb="10" eb="12">
      <t>トクベツ</t>
    </rPh>
    <rPh sb="12" eb="14">
      <t>シエン</t>
    </rPh>
    <rPh sb="14" eb="16">
      <t>ガッコウ</t>
    </rPh>
    <phoneticPr fontId="4"/>
  </si>
  <si>
    <t>県立</t>
  </si>
  <si>
    <t>盛岡視覚支援学校</t>
    <rPh sb="0" eb="2">
      <t>モリオカ</t>
    </rPh>
    <rPh sb="2" eb="4">
      <t>シカク</t>
    </rPh>
    <rPh sb="4" eb="6">
      <t>シエン</t>
    </rPh>
    <rPh sb="6" eb="8">
      <t>ガッコウ</t>
    </rPh>
    <phoneticPr fontId="4"/>
  </si>
  <si>
    <t>盛岡聴覚支援学校</t>
    <rPh sb="0" eb="2">
      <t>モリオカ</t>
    </rPh>
    <rPh sb="2" eb="4">
      <t>チョウカク</t>
    </rPh>
    <rPh sb="4" eb="6">
      <t>シエン</t>
    </rPh>
    <rPh sb="6" eb="8">
      <t>ガッコウ</t>
    </rPh>
    <phoneticPr fontId="4"/>
  </si>
  <si>
    <t>盛岡みたけ支援学校</t>
    <rPh sb="0" eb="2">
      <t>モリオカ</t>
    </rPh>
    <rPh sb="5" eb="7">
      <t>シエン</t>
    </rPh>
    <rPh sb="7" eb="9">
      <t>ガッコウ</t>
    </rPh>
    <phoneticPr fontId="4"/>
  </si>
  <si>
    <t>盛岡となん支援学校</t>
    <rPh sb="0" eb="2">
      <t>モリオカ</t>
    </rPh>
    <rPh sb="5" eb="7">
      <t>シエン</t>
    </rPh>
    <rPh sb="7" eb="9">
      <t>ガッコウ</t>
    </rPh>
    <phoneticPr fontId="4"/>
  </si>
  <si>
    <t>盛岡青松支援学校</t>
    <rPh sb="0" eb="2">
      <t>モリオカ</t>
    </rPh>
    <rPh sb="2" eb="4">
      <t>アオマツ</t>
    </rPh>
    <rPh sb="4" eb="6">
      <t>シエン</t>
    </rPh>
    <rPh sb="6" eb="8">
      <t>ガッコウ</t>
    </rPh>
    <phoneticPr fontId="4"/>
  </si>
  <si>
    <t>盛岡ひがし支援学校</t>
    <rPh sb="0" eb="2">
      <t>モリオカ</t>
    </rPh>
    <rPh sb="5" eb="7">
      <t>シエン</t>
    </rPh>
    <rPh sb="7" eb="9">
      <t>ガッコウ</t>
    </rPh>
    <phoneticPr fontId="4"/>
  </si>
  <si>
    <t>花巻清風支援学校</t>
    <rPh sb="0" eb="2">
      <t>ハナマキ</t>
    </rPh>
    <rPh sb="2" eb="4">
      <t>セイフウ</t>
    </rPh>
    <rPh sb="4" eb="6">
      <t>シエン</t>
    </rPh>
    <rPh sb="6" eb="8">
      <t>ガッコウ</t>
    </rPh>
    <phoneticPr fontId="4"/>
  </si>
  <si>
    <t>前沢明峰支援学校</t>
    <rPh sb="0" eb="2">
      <t>マエサワ</t>
    </rPh>
    <rPh sb="2" eb="3">
      <t>アカ</t>
    </rPh>
    <rPh sb="3" eb="4">
      <t>ミネ</t>
    </rPh>
    <rPh sb="4" eb="6">
      <t>シエン</t>
    </rPh>
    <rPh sb="6" eb="8">
      <t>ガッコウ</t>
    </rPh>
    <phoneticPr fontId="4"/>
  </si>
  <si>
    <t>一関清明支援学校</t>
    <rPh sb="0" eb="2">
      <t>イチノセキ</t>
    </rPh>
    <rPh sb="2" eb="4">
      <t>セイメイ</t>
    </rPh>
    <rPh sb="4" eb="6">
      <t>シエン</t>
    </rPh>
    <rPh sb="6" eb="8">
      <t>ガッコウ</t>
    </rPh>
    <phoneticPr fontId="4"/>
  </si>
  <si>
    <t>気仙光陵支援学校</t>
    <rPh sb="0" eb="2">
      <t>ケセン</t>
    </rPh>
    <rPh sb="2" eb="4">
      <t>コウリョウ</t>
    </rPh>
    <rPh sb="4" eb="6">
      <t>シエン</t>
    </rPh>
    <rPh sb="6" eb="8">
      <t>ガッコウ</t>
    </rPh>
    <phoneticPr fontId="4"/>
  </si>
  <si>
    <t>釜石祥雲支援学校</t>
    <rPh sb="0" eb="2">
      <t>カマイシ</t>
    </rPh>
    <rPh sb="2" eb="3">
      <t>ショウ</t>
    </rPh>
    <rPh sb="3" eb="4">
      <t>クモ</t>
    </rPh>
    <rPh sb="4" eb="6">
      <t>シエン</t>
    </rPh>
    <rPh sb="6" eb="8">
      <t>ガッコウ</t>
    </rPh>
    <phoneticPr fontId="4"/>
  </si>
  <si>
    <t>宮古恵風支援学校</t>
    <rPh sb="0" eb="2">
      <t>ミヤコ</t>
    </rPh>
    <rPh sb="2" eb="3">
      <t>メグミ</t>
    </rPh>
    <rPh sb="3" eb="4">
      <t>フウ</t>
    </rPh>
    <rPh sb="4" eb="6">
      <t>シエン</t>
    </rPh>
    <rPh sb="6" eb="8">
      <t>ガッコウ</t>
    </rPh>
    <phoneticPr fontId="4"/>
  </si>
  <si>
    <t>久慈拓陽支援学校</t>
    <rPh sb="0" eb="2">
      <t>クジ</t>
    </rPh>
    <rPh sb="2" eb="4">
      <t>タクヨウ</t>
    </rPh>
    <rPh sb="4" eb="6">
      <t>シエン</t>
    </rPh>
    <rPh sb="6" eb="8">
      <t>ガッコウ</t>
    </rPh>
    <phoneticPr fontId="4"/>
  </si>
  <si>
    <t>二戸北星支援学校</t>
    <rPh sb="0" eb="2">
      <t>ニノヘ</t>
    </rPh>
    <rPh sb="2" eb="3">
      <t>キタ</t>
    </rPh>
    <rPh sb="3" eb="4">
      <t>ホシ</t>
    </rPh>
    <rPh sb="4" eb="6">
      <t>シエン</t>
    </rPh>
    <rPh sb="6" eb="8">
      <t>ガッコウ</t>
    </rPh>
    <phoneticPr fontId="4"/>
  </si>
  <si>
    <t>R8新設</t>
    <rPh sb="2" eb="4">
      <t>シンセツ</t>
    </rPh>
    <phoneticPr fontId="4"/>
  </si>
  <si>
    <t>その他</t>
  </si>
  <si>
    <t>県外・特別支援学校等からの転入生</t>
  </si>
  <si>
    <t>国独</t>
  </si>
  <si>
    <t>岩手大学教育学部附属小学校</t>
  </si>
  <si>
    <t>盛岡</t>
    <rPh sb="0" eb="2">
      <t>モリオカ</t>
    </rPh>
    <phoneticPr fontId="2"/>
  </si>
  <si>
    <t>盛岡市</t>
    <rPh sb="0" eb="3">
      <t>モリオカシ</t>
    </rPh>
    <phoneticPr fontId="2"/>
  </si>
  <si>
    <t>盛岡市教育委員会</t>
  </si>
  <si>
    <t>岩手町</t>
    <rPh sb="0" eb="3">
      <t>イワテマチ</t>
    </rPh>
    <phoneticPr fontId="2"/>
  </si>
  <si>
    <t>岩手町教育委員会</t>
  </si>
  <si>
    <t>雫石町</t>
    <rPh sb="0" eb="3">
      <t>シズクイシチョウ</t>
    </rPh>
    <phoneticPr fontId="2"/>
  </si>
  <si>
    <t>雫石町教育委員会</t>
  </si>
  <si>
    <t>葛巻町</t>
    <rPh sb="0" eb="3">
      <t>クズマキマチ</t>
    </rPh>
    <phoneticPr fontId="2"/>
  </si>
  <si>
    <t>葛巻町教育委員会</t>
  </si>
  <si>
    <t>滝沢市</t>
    <rPh sb="0" eb="2">
      <t>タキザワ</t>
    </rPh>
    <rPh sb="2" eb="3">
      <t>シ</t>
    </rPh>
    <phoneticPr fontId="2"/>
  </si>
  <si>
    <t>滝沢市教育委員会</t>
    <rPh sb="2" eb="3">
      <t>シ</t>
    </rPh>
    <phoneticPr fontId="3"/>
  </si>
  <si>
    <t>紫波町</t>
    <rPh sb="0" eb="2">
      <t>シワ</t>
    </rPh>
    <rPh sb="2" eb="3">
      <t>マチ</t>
    </rPh>
    <phoneticPr fontId="2"/>
  </si>
  <si>
    <t>紫波町教育委員会</t>
    <rPh sb="0" eb="2">
      <t>シワ</t>
    </rPh>
    <phoneticPr fontId="2"/>
  </si>
  <si>
    <t>矢巾町</t>
    <rPh sb="0" eb="2">
      <t>ヤハバ</t>
    </rPh>
    <rPh sb="2" eb="3">
      <t>マチ</t>
    </rPh>
    <phoneticPr fontId="2"/>
  </si>
  <si>
    <t>矢巾町教育委員会</t>
    <rPh sb="0" eb="2">
      <t>ヤハバ</t>
    </rPh>
    <phoneticPr fontId="2"/>
  </si>
  <si>
    <t>八幡平市</t>
    <rPh sb="0" eb="4">
      <t>ハチマンタイシ</t>
    </rPh>
    <phoneticPr fontId="2"/>
  </si>
  <si>
    <t>八幡平市教育委員会</t>
  </si>
  <si>
    <t>盛岡市</t>
    <rPh sb="0" eb="2">
      <t>モリオカ</t>
    </rPh>
    <rPh sb="2" eb="3">
      <t>シ</t>
    </rPh>
    <phoneticPr fontId="2"/>
  </si>
  <si>
    <t>盛岡教育事務所</t>
    <rPh sb="0" eb="2">
      <t>モリオカ</t>
    </rPh>
    <rPh sb="4" eb="7">
      <t>ジムショ</t>
    </rPh>
    <phoneticPr fontId="2"/>
  </si>
  <si>
    <t>中部</t>
    <rPh sb="0" eb="2">
      <t>チュウブ</t>
    </rPh>
    <phoneticPr fontId="2"/>
  </si>
  <si>
    <t>花巻市</t>
    <rPh sb="0" eb="3">
      <t>ハナマキシ</t>
    </rPh>
    <phoneticPr fontId="2"/>
  </si>
  <si>
    <t>花巻市教育委員会</t>
  </si>
  <si>
    <t>遠野市</t>
    <rPh sb="0" eb="3">
      <t>トオノシ</t>
    </rPh>
    <phoneticPr fontId="2"/>
  </si>
  <si>
    <t>遠野市教育委員会</t>
  </si>
  <si>
    <t>北上市</t>
    <rPh sb="0" eb="3">
      <t>キタカミシ</t>
    </rPh>
    <phoneticPr fontId="2"/>
  </si>
  <si>
    <t>北上市教育委員会</t>
  </si>
  <si>
    <t>西和賀町</t>
    <rPh sb="0" eb="4">
      <t>ニシワガマチ</t>
    </rPh>
    <phoneticPr fontId="2"/>
  </si>
  <si>
    <t>西和賀町教育委員会</t>
  </si>
  <si>
    <t>中部教育事務所</t>
    <rPh sb="0" eb="2">
      <t>チュウブ</t>
    </rPh>
    <rPh sb="2" eb="4">
      <t>キョウイク</t>
    </rPh>
    <rPh sb="4" eb="7">
      <t>ジムショ</t>
    </rPh>
    <phoneticPr fontId="2"/>
  </si>
  <si>
    <t>県南</t>
    <rPh sb="0" eb="2">
      <t>ケンナン</t>
    </rPh>
    <phoneticPr fontId="2"/>
  </si>
  <si>
    <t>奥州市</t>
    <rPh sb="0" eb="3">
      <t>オウシュウシ</t>
    </rPh>
    <phoneticPr fontId="2"/>
  </si>
  <si>
    <t>奥州市教育委員会</t>
  </si>
  <si>
    <t>金ケ崎町</t>
    <rPh sb="0" eb="1">
      <t>キン</t>
    </rPh>
    <rPh sb="2" eb="3">
      <t>ザキ</t>
    </rPh>
    <rPh sb="3" eb="4">
      <t>マチ</t>
    </rPh>
    <phoneticPr fontId="2"/>
  </si>
  <si>
    <t>金ケ崎町教育委員会</t>
    <rPh sb="0" eb="1">
      <t>キン</t>
    </rPh>
    <rPh sb="2" eb="3">
      <t>ザキ</t>
    </rPh>
    <rPh sb="3" eb="4">
      <t>マチ</t>
    </rPh>
    <phoneticPr fontId="2"/>
  </si>
  <si>
    <t>一関市</t>
    <rPh sb="0" eb="3">
      <t>イチノセキシ</t>
    </rPh>
    <phoneticPr fontId="2"/>
  </si>
  <si>
    <t>一関市教育委員会</t>
  </si>
  <si>
    <t>平泉町</t>
    <rPh sb="0" eb="2">
      <t>ヒライズミ</t>
    </rPh>
    <rPh sb="2" eb="3">
      <t>マチ</t>
    </rPh>
    <phoneticPr fontId="2"/>
  </si>
  <si>
    <t>平泉町教育委員会</t>
    <rPh sb="0" eb="2">
      <t>ヒライズミ</t>
    </rPh>
    <phoneticPr fontId="2"/>
  </si>
  <si>
    <t>県南教育事務所</t>
    <rPh sb="0" eb="2">
      <t>ケンナン</t>
    </rPh>
    <rPh sb="2" eb="4">
      <t>キョウイク</t>
    </rPh>
    <rPh sb="4" eb="7">
      <t>ジムショ</t>
    </rPh>
    <phoneticPr fontId="2"/>
  </si>
  <si>
    <t>沿岸南部</t>
    <rPh sb="0" eb="2">
      <t>エンガン</t>
    </rPh>
    <rPh sb="2" eb="4">
      <t>ナンブ</t>
    </rPh>
    <phoneticPr fontId="2"/>
  </si>
  <si>
    <t>大船渡市</t>
    <rPh sb="0" eb="4">
      <t>オオフナトシ</t>
    </rPh>
    <phoneticPr fontId="2"/>
  </si>
  <si>
    <t>大船渡市教育委員会</t>
  </si>
  <si>
    <t>陸前高田市</t>
    <rPh sb="0" eb="5">
      <t>リクゼンタカタシ</t>
    </rPh>
    <phoneticPr fontId="2"/>
  </si>
  <si>
    <t>陸前高田市教育委員会</t>
  </si>
  <si>
    <t>住田町</t>
    <rPh sb="0" eb="3">
      <t>スミタチョウ</t>
    </rPh>
    <phoneticPr fontId="2"/>
  </si>
  <si>
    <t>住田町教育委員会</t>
  </si>
  <si>
    <t>釜石市</t>
    <rPh sb="0" eb="3">
      <t>カマイシシ</t>
    </rPh>
    <phoneticPr fontId="2"/>
  </si>
  <si>
    <t>釜石市教育委員会</t>
  </si>
  <si>
    <t>大槌町</t>
    <rPh sb="0" eb="2">
      <t>オオヅチ</t>
    </rPh>
    <rPh sb="2" eb="3">
      <t>チョウ</t>
    </rPh>
    <phoneticPr fontId="2"/>
  </si>
  <si>
    <t>大槌町教育委員会</t>
    <rPh sb="0" eb="2">
      <t>オオヅチ</t>
    </rPh>
    <phoneticPr fontId="2"/>
  </si>
  <si>
    <t>沿岸南部教育事務所</t>
    <rPh sb="0" eb="2">
      <t>エンガン</t>
    </rPh>
    <rPh sb="2" eb="4">
      <t>ナンブ</t>
    </rPh>
    <rPh sb="4" eb="6">
      <t>キョウイク</t>
    </rPh>
    <rPh sb="6" eb="9">
      <t>ジムショ</t>
    </rPh>
    <phoneticPr fontId="2"/>
  </si>
  <si>
    <t>宮古</t>
    <rPh sb="0" eb="2">
      <t>ミヤコ</t>
    </rPh>
    <phoneticPr fontId="2"/>
  </si>
  <si>
    <t>宮古市</t>
    <rPh sb="0" eb="3">
      <t>ミヤコシ</t>
    </rPh>
    <phoneticPr fontId="2"/>
  </si>
  <si>
    <t>宮古市教育委員会</t>
  </si>
  <si>
    <t>山田町</t>
    <rPh sb="0" eb="3">
      <t>ヤマダマチ</t>
    </rPh>
    <phoneticPr fontId="2"/>
  </si>
  <si>
    <t>山田町教育委員会</t>
  </si>
  <si>
    <t>岩泉町</t>
    <rPh sb="0" eb="3">
      <t>イワイズミチョウ</t>
    </rPh>
    <phoneticPr fontId="2"/>
  </si>
  <si>
    <t>岩泉町教育委員会</t>
  </si>
  <si>
    <t>田野畑村</t>
    <rPh sb="0" eb="4">
      <t>タノハタムラ</t>
    </rPh>
    <phoneticPr fontId="2"/>
  </si>
  <si>
    <t>田野畑村教育委員会</t>
  </si>
  <si>
    <t>宮古教育事務所</t>
    <rPh sb="0" eb="2">
      <t>ミヤコ</t>
    </rPh>
    <rPh sb="2" eb="4">
      <t>キョウイク</t>
    </rPh>
    <rPh sb="4" eb="7">
      <t>ジムショ</t>
    </rPh>
    <phoneticPr fontId="2"/>
  </si>
  <si>
    <t>県北</t>
    <rPh sb="0" eb="2">
      <t>ケンポク</t>
    </rPh>
    <phoneticPr fontId="2"/>
  </si>
  <si>
    <t>久慈市</t>
    <rPh sb="0" eb="3">
      <t>クジシ</t>
    </rPh>
    <phoneticPr fontId="2"/>
  </si>
  <si>
    <t>久慈市教育委員会</t>
  </si>
  <si>
    <t>普代村</t>
    <rPh sb="0" eb="3">
      <t>フダイムラ</t>
    </rPh>
    <phoneticPr fontId="2"/>
  </si>
  <si>
    <t>普代村教育委員会</t>
  </si>
  <si>
    <t>野田村</t>
    <rPh sb="0" eb="3">
      <t>ノダムラ</t>
    </rPh>
    <phoneticPr fontId="2"/>
  </si>
  <si>
    <t>野田村教育委員会</t>
  </si>
  <si>
    <t>洋野町</t>
    <rPh sb="0" eb="3">
      <t>ヒロノチョウ</t>
    </rPh>
    <phoneticPr fontId="2"/>
  </si>
  <si>
    <t>洋野町教育委員会</t>
  </si>
  <si>
    <t>二戸市</t>
    <rPh sb="0" eb="3">
      <t>ニノヘシ</t>
    </rPh>
    <phoneticPr fontId="2"/>
  </si>
  <si>
    <t>二戸市教育委員会</t>
  </si>
  <si>
    <t>軽米町</t>
    <rPh sb="0" eb="3">
      <t>カルマイマチ</t>
    </rPh>
    <phoneticPr fontId="2"/>
  </si>
  <si>
    <t>軽米町教育委員会</t>
  </si>
  <si>
    <t>九戸村</t>
    <rPh sb="0" eb="3">
      <t>クノヘムラ</t>
    </rPh>
    <phoneticPr fontId="2"/>
  </si>
  <si>
    <t>九戸村教育委員会</t>
    <rPh sb="0" eb="3">
      <t>クノヘムラ</t>
    </rPh>
    <rPh sb="3" eb="5">
      <t>キョウイク</t>
    </rPh>
    <rPh sb="5" eb="8">
      <t>イインカイ</t>
    </rPh>
    <phoneticPr fontId="2"/>
  </si>
  <si>
    <t>一戸町</t>
    <rPh sb="0" eb="2">
      <t>イチノヘ</t>
    </rPh>
    <rPh sb="2" eb="3">
      <t>チョウ</t>
    </rPh>
    <phoneticPr fontId="2"/>
  </si>
  <si>
    <t>一戸町教育委員会</t>
    <rPh sb="0" eb="2">
      <t>イチノヘ</t>
    </rPh>
    <rPh sb="2" eb="3">
      <t>チョウ</t>
    </rPh>
    <rPh sb="3" eb="5">
      <t>キョウイク</t>
    </rPh>
    <rPh sb="5" eb="8">
      <t>イインカイ</t>
    </rPh>
    <phoneticPr fontId="2"/>
  </si>
  <si>
    <t>県北教育事務所</t>
    <rPh sb="0" eb="2">
      <t>ケンポク</t>
    </rPh>
    <rPh sb="2" eb="4">
      <t>キョウイク</t>
    </rPh>
    <rPh sb="4" eb="7">
      <t>ジムショ</t>
    </rPh>
    <phoneticPr fontId="2"/>
  </si>
  <si>
    <t>岩手県</t>
    <rPh sb="0" eb="3">
      <t>イワテケン</t>
    </rPh>
    <phoneticPr fontId="2"/>
  </si>
  <si>
    <t>イーハトーブ小学校</t>
  </si>
  <si>
    <t>中学校名</t>
    <rPh sb="0" eb="3">
      <t>チュウガッコウ</t>
    </rPh>
    <rPh sb="3" eb="4">
      <t>メイ</t>
    </rPh>
    <phoneticPr fontId="4"/>
  </si>
  <si>
    <t>盛岡市立下橋中学校</t>
  </si>
  <si>
    <t>盛岡市立下小路中学校</t>
  </si>
  <si>
    <t>盛岡市立厨川中学校</t>
  </si>
  <si>
    <t>盛岡市立上田中学校</t>
  </si>
  <si>
    <t>盛岡市立河南中学校</t>
  </si>
  <si>
    <t>盛岡市立仙北中学校</t>
  </si>
  <si>
    <t>盛岡市立大宮中学校</t>
  </si>
  <si>
    <t>盛岡市立米内中学校</t>
  </si>
  <si>
    <t>盛岡市立土淵中学校</t>
  </si>
  <si>
    <t>盛岡市立黒石野中学校</t>
  </si>
  <si>
    <t>盛岡市立城西中学校</t>
  </si>
  <si>
    <t>盛岡市立城東中学校</t>
  </si>
  <si>
    <t>盛岡市立北陵中学校</t>
  </si>
  <si>
    <t>盛岡市立松園中学校</t>
  </si>
  <si>
    <t>盛岡市立見前中学校</t>
  </si>
  <si>
    <t>盛岡市立飯岡中学校</t>
  </si>
  <si>
    <t>盛岡市立乙部中学校</t>
  </si>
  <si>
    <t>盛岡市立見前南中学校</t>
  </si>
  <si>
    <t>盛岡市立北松園中学校</t>
  </si>
  <si>
    <t>R8玉山中と統合</t>
    <rPh sb="2" eb="4">
      <t>タマヤマ</t>
    </rPh>
    <rPh sb="4" eb="5">
      <t>チュウ</t>
    </rPh>
    <rPh sb="6" eb="8">
      <t>トウゴウ</t>
    </rPh>
    <phoneticPr fontId="4"/>
  </si>
  <si>
    <t>盛岡市立玉山中学校</t>
  </si>
  <si>
    <t>盛岡市立渋民中学校</t>
  </si>
  <si>
    <t>盛岡市立巻堀中学校</t>
  </si>
  <si>
    <t>盛岡市立黒石野中学校北杜分校</t>
    <rPh sb="8" eb="10">
      <t>ガッコウ</t>
    </rPh>
    <phoneticPr fontId="4"/>
  </si>
  <si>
    <t>岩手町立沼宮内中学校</t>
  </si>
  <si>
    <t>岩手町立川口中学校</t>
  </si>
  <si>
    <t>岩手町立一方井中学校</t>
  </si>
  <si>
    <t>雫石町立雫石中学校</t>
  </si>
  <si>
    <t>葛巻町立葛巻中学校</t>
  </si>
  <si>
    <t>葛巻町立小屋瀬中学校</t>
  </si>
  <si>
    <t>葛巻町立江刈中学校</t>
  </si>
  <si>
    <t>滝沢市立滝沢南中学校</t>
  </si>
  <si>
    <t>滝沢市立滝沢中学校</t>
  </si>
  <si>
    <t>滝沢市立滝沢第二中学校</t>
  </si>
  <si>
    <t>滝沢市立一本木中学校</t>
  </si>
  <si>
    <t>滝沢市立姥屋敷中学校</t>
  </si>
  <si>
    <t>滝沢市立柳沢中学校</t>
  </si>
  <si>
    <t>紫波町立紫波第一中学校</t>
  </si>
  <si>
    <t>紫波町立紫波第二中学校</t>
  </si>
  <si>
    <t>紫波町立紫波第三中学校</t>
  </si>
  <si>
    <t>矢巾町立矢巾中学校</t>
  </si>
  <si>
    <t>矢巾町立矢巾北中学校</t>
  </si>
  <si>
    <t>八幡平市立西根中学校</t>
  </si>
  <si>
    <t>八幡平市立西根第一中学校</t>
  </si>
  <si>
    <t>八幡平市立松尾中学校</t>
  </si>
  <si>
    <t>八幡平市立安代中学校</t>
  </si>
  <si>
    <t>花巻市立花巻中学校</t>
  </si>
  <si>
    <t>花巻市立花巻北中学校</t>
  </si>
  <si>
    <t>花巻市立南城中学校</t>
  </si>
  <si>
    <t>花巻市立湯口中学校</t>
  </si>
  <si>
    <t>花巻市立湯本中学校</t>
  </si>
  <si>
    <t>花巻市立矢沢中学校</t>
  </si>
  <si>
    <t>花巻市立宮野目中学校</t>
  </si>
  <si>
    <t>花巻市立西南中学校</t>
  </si>
  <si>
    <t>花巻市立大迫中学校</t>
  </si>
  <si>
    <t>花巻市立石鳥谷中学校</t>
  </si>
  <si>
    <t>花巻市立東和中学校</t>
  </si>
  <si>
    <t>遠野市立遠野中学校</t>
  </si>
  <si>
    <t>遠野市立遠野東中学校</t>
  </si>
  <si>
    <t>遠野市立遠野西中学校</t>
  </si>
  <si>
    <t>北上市立上野中学校</t>
  </si>
  <si>
    <t>北上市立北上中学校</t>
  </si>
  <si>
    <t>R8東陵中と統合</t>
    <rPh sb="2" eb="4">
      <t>トウリョウ</t>
    </rPh>
    <rPh sb="4" eb="5">
      <t>チュウ</t>
    </rPh>
    <rPh sb="6" eb="8">
      <t>トウゴウ</t>
    </rPh>
    <phoneticPr fontId="4"/>
  </si>
  <si>
    <t>北上市立東陵中学校</t>
  </si>
  <si>
    <t>北上市立飯豊中学校</t>
  </si>
  <si>
    <t>北上市立北上北中学校</t>
  </si>
  <si>
    <t>北上市立南中学校</t>
  </si>
  <si>
    <t>北上市立江釣子中学校</t>
  </si>
  <si>
    <t>北上市立和賀西中学校</t>
  </si>
  <si>
    <t>北上市立和賀東中学校</t>
  </si>
  <si>
    <t>西和賀町立湯田中学校</t>
  </si>
  <si>
    <t>西和賀町立沢内中学校</t>
  </si>
  <si>
    <t>奥州市立水沢中学校</t>
  </si>
  <si>
    <t>奥州市立東水沢中学校</t>
  </si>
  <si>
    <t>奥州市立水沢南中学校</t>
  </si>
  <si>
    <t>奥州市立胆沢中学校</t>
  </si>
  <si>
    <t>奥州市立前沢中学校</t>
  </si>
  <si>
    <t>奥州市立衣川中学校</t>
  </si>
  <si>
    <t>奥州市立江刺第一中学校</t>
  </si>
  <si>
    <t>金ケ崎町立金ケ崎中学校</t>
  </si>
  <si>
    <t>一関市立一関中学校</t>
  </si>
  <si>
    <t>一関市立磐井中学校</t>
  </si>
  <si>
    <t>一関市立一関東中学校</t>
  </si>
  <si>
    <t>一関市立桜町中学校</t>
  </si>
  <si>
    <t>一関市立萩荘中学校</t>
  </si>
  <si>
    <t>一関市立厳美中学校</t>
  </si>
  <si>
    <t>一関市立舞川中学校</t>
  </si>
  <si>
    <t>一関市立花泉中学校</t>
  </si>
  <si>
    <t>一関市立千厩中学校</t>
  </si>
  <si>
    <t>一関市立大東中学校</t>
  </si>
  <si>
    <t>一関市立藤沢中学校</t>
  </si>
  <si>
    <t>一関市立東山中学校</t>
  </si>
  <si>
    <t>一関市立室根中学校</t>
  </si>
  <si>
    <t>一関市立川崎中学校</t>
  </si>
  <si>
    <t>平泉町立平泉中学校</t>
  </si>
  <si>
    <t>大船渡市立第一中学校</t>
  </si>
  <si>
    <t>大船渡市立大船渡中学校</t>
  </si>
  <si>
    <t>大船渡市立東朋中学校</t>
    <rPh sb="0" eb="5">
      <t>オオフナトシリツ</t>
    </rPh>
    <rPh sb="5" eb="6">
      <t>ヒガシ</t>
    </rPh>
    <rPh sb="6" eb="7">
      <t>トモ</t>
    </rPh>
    <rPh sb="7" eb="10">
      <t>チュウガッコウ</t>
    </rPh>
    <phoneticPr fontId="4"/>
  </si>
  <si>
    <t>陸前高田市立高田第一中学校</t>
  </si>
  <si>
    <t>陸前高田市立高田東中学校</t>
  </si>
  <si>
    <t>住田町立住田中学校</t>
    <rPh sb="4" eb="6">
      <t>スミタ</t>
    </rPh>
    <phoneticPr fontId="4"/>
  </si>
  <si>
    <t>釜石市立釜石中学校</t>
  </si>
  <si>
    <t>釜石市立大平中学校</t>
  </si>
  <si>
    <t>釜石市立唐丹中学校</t>
  </si>
  <si>
    <t>釜石市立甲子中学校</t>
  </si>
  <si>
    <t>釜石市立釜石東中学校</t>
  </si>
  <si>
    <t>大槌町立大槌学園（後期課程）</t>
    <rPh sb="9" eb="13">
      <t>コウキカテイ</t>
    </rPh>
    <phoneticPr fontId="4"/>
  </si>
  <si>
    <t>大槌町立吉里吉里中学校</t>
  </si>
  <si>
    <t>宮古市立第一中学校</t>
  </si>
  <si>
    <t>宮古市立第二中学校</t>
  </si>
  <si>
    <t>宮古市立河南中学校</t>
  </si>
  <si>
    <t>宮古市立宮古西中学校</t>
  </si>
  <si>
    <t>宮古市立花輪中学校</t>
  </si>
  <si>
    <t>宮古市立津軽石中学校</t>
  </si>
  <si>
    <t>宮古市立重茂中学校</t>
  </si>
  <si>
    <t>宮古市立崎山中学校</t>
  </si>
  <si>
    <t>宮古市立田老第一中学校</t>
  </si>
  <si>
    <t>宮古市立新里中学校</t>
  </si>
  <si>
    <t>宮古市立川井中学校</t>
  </si>
  <si>
    <t>山田町立山田中学校</t>
  </si>
  <si>
    <t>岩泉町立岩泉中学校</t>
  </si>
  <si>
    <t>岩泉町立小川中学校</t>
  </si>
  <si>
    <t>岩泉町立小本中学校</t>
  </si>
  <si>
    <t>田野畑村立田野畑中学校</t>
  </si>
  <si>
    <t>久慈市立久慈中学校</t>
  </si>
  <si>
    <t>R8大川目中・夏井中・侍浜中と統合</t>
    <rPh sb="2" eb="5">
      <t>オオカワメ</t>
    </rPh>
    <rPh sb="5" eb="6">
      <t>チュウ</t>
    </rPh>
    <rPh sb="7" eb="9">
      <t>ナツイ</t>
    </rPh>
    <rPh sb="9" eb="10">
      <t>チュウ</t>
    </rPh>
    <rPh sb="11" eb="13">
      <t>サムライハマ</t>
    </rPh>
    <rPh sb="13" eb="14">
      <t>チュウ</t>
    </rPh>
    <rPh sb="15" eb="17">
      <t>トウゴウ</t>
    </rPh>
    <phoneticPr fontId="4"/>
  </si>
  <si>
    <t>久慈市立長内中学校</t>
  </si>
  <si>
    <t>R8三崎中と統合</t>
    <rPh sb="2" eb="4">
      <t>サンサキ</t>
    </rPh>
    <rPh sb="4" eb="5">
      <t>チュウ</t>
    </rPh>
    <rPh sb="6" eb="8">
      <t>トウゴウ</t>
    </rPh>
    <phoneticPr fontId="4"/>
  </si>
  <si>
    <t>久慈市立大川目中学校</t>
  </si>
  <si>
    <t>久慈市立夏井中学校</t>
  </si>
  <si>
    <t>久慈市立侍浜中学校</t>
  </si>
  <si>
    <t>久慈市立宇部中学校</t>
  </si>
  <si>
    <t>久慈市立三崎中学校</t>
  </si>
  <si>
    <t>久慈市立山形中学校</t>
  </si>
  <si>
    <t>普代村立普代中学校</t>
  </si>
  <si>
    <t>野田村立野田中学校</t>
  </si>
  <si>
    <t>洋野町立種市中学校</t>
  </si>
  <si>
    <t>洋野町立中野中学校</t>
  </si>
  <si>
    <t>洋野町立大野中学校</t>
  </si>
  <si>
    <t>二戸市立福岡中学校</t>
  </si>
  <si>
    <t>二戸市立金田一中学校</t>
  </si>
  <si>
    <t>二戸市立浄法寺中学校</t>
  </si>
  <si>
    <t>軽米町立軽米中学校</t>
  </si>
  <si>
    <t>九戸村立九戸中学校</t>
  </si>
  <si>
    <t>一戸町立一戸中学校</t>
  </si>
  <si>
    <t>一戸町立奥中山中学校</t>
  </si>
  <si>
    <t>一関第一高等学校附属中学校</t>
  </si>
  <si>
    <t>岩手大学教育学部附属中学校</t>
  </si>
  <si>
    <t>イーハト-ブ中学校</t>
  </si>
  <si>
    <t>教育事務所を選択してください。</t>
    <rPh sb="0" eb="5">
      <t>キョウイクジムショ</t>
    </rPh>
    <rPh sb="6" eb="8">
      <t>センタク</t>
    </rPh>
    <phoneticPr fontId="1"/>
  </si>
  <si>
    <t>校種を選択してください。</t>
    <rPh sb="0" eb="2">
      <t>コウシュ</t>
    </rPh>
    <rPh sb="3" eb="5">
      <t>センタク</t>
    </rPh>
    <phoneticPr fontId="1"/>
  </si>
  <si>
    <t>県立</t>
    <rPh sb="0" eb="2">
      <t>ケンリツ</t>
    </rPh>
    <phoneticPr fontId="1"/>
  </si>
  <si>
    <t>県立</t>
    <phoneticPr fontId="1"/>
  </si>
  <si>
    <t>教育事務所</t>
    <rPh sb="0" eb="5">
      <t>キョウイクジムショ</t>
    </rPh>
    <phoneticPr fontId="1"/>
  </si>
  <si>
    <t>市町村</t>
    <rPh sb="0" eb="3">
      <t>シチョウソン</t>
    </rPh>
    <phoneticPr fontId="1"/>
  </si>
  <si>
    <t>学校</t>
    <rPh sb="0" eb="2">
      <t>ガッコウ</t>
    </rPh>
    <phoneticPr fontId="1"/>
  </si>
  <si>
    <t>市町村を選択してください。</t>
    <rPh sb="0" eb="3">
      <t>シチョウソン</t>
    </rPh>
    <rPh sb="4" eb="6">
      <t>センタク</t>
    </rPh>
    <phoneticPr fontId="1"/>
  </si>
  <si>
    <t>学校を選択してください。</t>
    <rPh sb="0" eb="2">
      <t>ガッコウ</t>
    </rPh>
    <rPh sb="3" eb="5">
      <t>センタク</t>
    </rPh>
    <phoneticPr fontId="1"/>
  </si>
  <si>
    <t>学校コード</t>
    <rPh sb="0" eb="2">
      <t>ガッコウ</t>
    </rPh>
    <phoneticPr fontId="1"/>
  </si>
  <si>
    <t>数字</t>
    <rPh sb="0" eb="2">
      <t>スウジ</t>
    </rPh>
    <phoneticPr fontId="1"/>
  </si>
  <si>
    <t>A</t>
  </si>
  <si>
    <t>H</t>
  </si>
  <si>
    <t>K</t>
  </si>
  <si>
    <t>M</t>
  </si>
  <si>
    <t>N</t>
  </si>
  <si>
    <t>R</t>
  </si>
  <si>
    <t>V</t>
  </si>
  <si>
    <t>X</t>
  </si>
  <si>
    <t>001</t>
    <phoneticPr fontId="1"/>
  </si>
  <si>
    <t>002</t>
    <phoneticPr fontId="1"/>
  </si>
  <si>
    <t>003</t>
  </si>
  <si>
    <t>004</t>
  </si>
  <si>
    <t>005</t>
  </si>
  <si>
    <t>006</t>
  </si>
  <si>
    <t>007</t>
  </si>
  <si>
    <t>008</t>
  </si>
  <si>
    <t>児童・生徒答案番号</t>
    <rPh sb="0" eb="2">
      <t>ジドウ</t>
    </rPh>
    <rPh sb="3" eb="5">
      <t>セイト</t>
    </rPh>
    <rPh sb="5" eb="9">
      <t>トウアンバンゴウ</t>
    </rPh>
    <phoneticPr fontId="1"/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</si>
  <si>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</si>
  <si>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</si>
  <si>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</si>
  <si>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</si>
  <si>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</si>
  <si>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</si>
  <si>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</si>
  <si>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</si>
  <si>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</si>
  <si>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</si>
  <si>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</si>
  <si>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</si>
  <si>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</si>
  <si>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</si>
  <si>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</si>
  <si>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</si>
  <si>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</si>
  <si>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</si>
  <si>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</si>
  <si>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</si>
  <si>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</si>
  <si>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</si>
  <si>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</si>
  <si>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</si>
  <si>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</si>
  <si>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</si>
  <si>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</si>
  <si>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</si>
  <si>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</si>
  <si>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</si>
  <si>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</si>
  <si>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</si>
  <si>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</si>
  <si>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</si>
  <si>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</si>
  <si>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</si>
  <si>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</si>
  <si>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</si>
  <si>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</si>
  <si>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</si>
  <si>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</si>
  <si>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</si>
  <si>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</si>
  <si>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</si>
  <si>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</si>
  <si>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</si>
  <si>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</si>
  <si>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</si>
  <si>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</si>
  <si>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</si>
  <si>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</si>
  <si>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</si>
  <si>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</si>
  <si>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</si>
  <si>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</si>
  <si>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</si>
  <si>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</si>
  <si>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</si>
  <si>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</si>
  <si>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</si>
  <si>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</si>
  <si>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</si>
  <si>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</si>
  <si>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</si>
  <si>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</si>
  <si>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</si>
  <si>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</si>
  <si>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</si>
  <si>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</si>
  <si>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</si>
  <si>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</si>
  <si>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</si>
  <si>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</si>
  <si>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</si>
  <si>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</si>
  <si>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</si>
  <si>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</si>
  <si>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</si>
  <si>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</si>
  <si>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</si>
  <si>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</si>
  <si>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</si>
  <si>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</si>
  <si>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</si>
  <si>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</si>
  <si>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</si>
  <si>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</si>
  <si>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</si>
  <si>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</si>
  <si>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</si>
  <si>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</si>
  <si>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</si>
  <si>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</si>
  <si>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</si>
  <si>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</si>
  <si>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</si>
  <si>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</si>
  <si>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</si>
  <si>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</si>
  <si>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</si>
  <si>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</si>
  <si>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</si>
  <si>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</si>
  <si>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</si>
  <si>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</si>
  <si>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</si>
  <si>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</si>
  <si>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</si>
  <si>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</si>
  <si>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</si>
  <si>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</si>
  <si>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</si>
  <si>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</si>
  <si>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</si>
  <si>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</si>
  <si>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</si>
  <si>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</si>
  <si>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</si>
  <si>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</si>
  <si>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</si>
  <si>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</si>
  <si>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</si>
  <si>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</si>
  <si>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</si>
  <si>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</si>
  <si>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</si>
  <si>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</si>
  <si>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</si>
  <si>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</si>
  <si>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</si>
  <si>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</si>
  <si>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</si>
  <si>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</si>
  <si>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</si>
  <si>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</si>
  <si>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</si>
  <si>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</si>
  <si>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</si>
  <si>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</si>
  <si>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</si>
  <si>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</si>
  <si>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</si>
  <si>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</si>
  <si>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</si>
  <si>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</si>
  <si>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</si>
  <si>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</si>
  <si>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</si>
  <si>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</si>
  <si>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</si>
  <si>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</si>
  <si>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</si>
  <si>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</si>
  <si>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</si>
  <si>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</si>
  <si>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</si>
  <si>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</si>
  <si>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</si>
  <si>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</si>
  <si>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</si>
  <si>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</si>
  <si>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</si>
  <si>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</si>
  <si>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</si>
  <si>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</si>
  <si>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</si>
  <si>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</si>
  <si>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</si>
  <si>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</si>
  <si>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</si>
  <si>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</si>
  <si>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</si>
  <si>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</si>
  <si>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</si>
  <si>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</si>
  <si>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</si>
  <si>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</si>
  <si>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</si>
  <si>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</si>
  <si>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</si>
  <si>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</si>
  <si>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</si>
  <si>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</si>
  <si>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</si>
  <si>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</si>
  <si>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</si>
  <si>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</si>
  <si>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</si>
  <si>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</si>
  <si>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</si>
  <si>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</si>
  <si>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</si>
  <si>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</si>
  <si>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</si>
  <si>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</si>
  <si>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</si>
  <si>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</si>
  <si>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</si>
  <si>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</si>
  <si>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</si>
  <si>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</si>
  <si>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</si>
  <si>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</si>
  <si>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</si>
  <si>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</si>
  <si>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</si>
  <si>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</si>
  <si>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</si>
  <si>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</si>
  <si>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</si>
  <si>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</si>
  <si>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</si>
  <si>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</si>
  <si>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</si>
  <si>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</si>
  <si>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</si>
  <si>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</si>
  <si>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</si>
  <si>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</si>
  <si>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</si>
  <si>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</si>
  <si>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</si>
  <si>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</si>
  <si>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</si>
  <si>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</si>
  <si>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</si>
  <si>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</si>
  <si>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</si>
  <si>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</si>
  <si>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</si>
  <si>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</si>
  <si>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</si>
  <si>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</si>
  <si>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</si>
  <si>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</si>
  <si>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</si>
  <si>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</si>
  <si>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</si>
  <si>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</si>
  <si>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</si>
  <si>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</si>
  <si>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</si>
  <si>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</si>
  <si>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</si>
  <si>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</si>
  <si>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</si>
  <si>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</si>
  <si>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</si>
  <si>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</si>
  <si>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</si>
  <si>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</si>
  <si>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</si>
  <si>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</si>
  <si>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</si>
  <si>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</si>
  <si>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</si>
  <si>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</si>
  <si>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</si>
  <si>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</si>
  <si>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</si>
  <si>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</si>
  <si>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</si>
  <si>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</si>
  <si>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</si>
  <si>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</si>
  <si>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</si>
  <si>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</si>
  <si>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</si>
  <si>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</si>
  <si>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</si>
  <si>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</si>
  <si>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</si>
  <si>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</si>
  <si>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</si>
  <si>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</si>
  <si>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</si>
  <si>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</si>
  <si>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</si>
  <si>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</si>
  <si>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</si>
  <si>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</si>
  <si>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</si>
  <si>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</si>
  <si>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</si>
  <si>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</si>
  <si>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</si>
  <si>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</si>
  <si>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</si>
  <si>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</si>
  <si>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</si>
  <si>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</si>
  <si>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</si>
  <si>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</si>
  <si>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</si>
  <si>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</si>
  <si>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</si>
  <si>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</si>
  <si>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</si>
  <si>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</si>
  <si>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</si>
  <si>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</si>
  <si>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</si>
  <si>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</si>
  <si>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</si>
  <si>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</si>
  <si>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</si>
  <si>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</si>
  <si>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</si>
  <si>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</si>
  <si>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</si>
  <si>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</si>
  <si>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</si>
  <si>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通しNo</t>
    <rPh sb="0" eb="1">
      <t>トオ</t>
    </rPh>
    <phoneticPr fontId="1"/>
  </si>
  <si>
    <t>学年</t>
    <rPh sb="0" eb="2">
      <t>ガクネン</t>
    </rPh>
    <phoneticPr fontId="1"/>
  </si>
  <si>
    <t>組</t>
    <rPh sb="0" eb="1">
      <t>ク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</si>
  <si>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</si>
  <si>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</si>
  <si>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生徒１</t>
    <rPh sb="0" eb="2">
      <t>セイト</t>
    </rPh>
    <phoneticPr fontId="1"/>
  </si>
  <si>
    <t>生徒２</t>
    <rPh sb="0" eb="2">
      <t>セイト</t>
    </rPh>
    <phoneticPr fontId="1"/>
  </si>
  <si>
    <t>生徒３</t>
    <rPh sb="0" eb="2">
      <t>セイト</t>
    </rPh>
    <phoneticPr fontId="1"/>
  </si>
  <si>
    <t>生徒４</t>
    <rPh sb="0" eb="2">
      <t>セイト</t>
    </rPh>
    <phoneticPr fontId="1"/>
  </si>
  <si>
    <t>生徒５</t>
    <rPh sb="0" eb="2">
      <t>セイト</t>
    </rPh>
    <phoneticPr fontId="1"/>
  </si>
  <si>
    <t>年度</t>
    <rPh sb="0" eb="2">
      <t>ネンド</t>
    </rPh>
    <phoneticPr fontId="1"/>
  </si>
  <si>
    <t>種別</t>
    <rPh sb="0" eb="2">
      <t>シュベツ</t>
    </rPh>
    <phoneticPr fontId="1"/>
  </si>
  <si>
    <t>Ss</t>
    <phoneticPr fontId="1"/>
  </si>
  <si>
    <t>Ks</t>
  </si>
  <si>
    <t>Ks</t>
    <phoneticPr fontId="1"/>
  </si>
  <si>
    <t>Sm</t>
    <phoneticPr fontId="1"/>
  </si>
  <si>
    <t>Km</t>
    <phoneticPr fontId="1"/>
  </si>
  <si>
    <t>R08</t>
    <phoneticPr fontId="1"/>
  </si>
  <si>
    <t>↓自動表示（変更不可）</t>
    <rPh sb="1" eb="3">
      <t>ジドウ</t>
    </rPh>
    <rPh sb="3" eb="5">
      <t>ヒョウジ</t>
    </rPh>
    <rPh sb="6" eb="8">
      <t>ヘンコウ</t>
    </rPh>
    <rPh sb="8" eb="10">
      <t>フカ</t>
    </rPh>
    <phoneticPr fontId="1"/>
  </si>
  <si>
    <t>記号2</t>
    <rPh sb="0" eb="2">
      <t>キゴウ</t>
    </rPh>
    <phoneticPr fontId="1"/>
  </si>
  <si>
    <t>生徒６</t>
    <rPh sb="0" eb="2">
      <t>セイト</t>
    </rPh>
    <phoneticPr fontId="1"/>
  </si>
  <si>
    <t>生徒７</t>
    <rPh sb="0" eb="2">
      <t>セイト</t>
    </rPh>
    <phoneticPr fontId="1"/>
  </si>
  <si>
    <t>生徒８</t>
    <rPh sb="0" eb="2">
      <t>セイト</t>
    </rPh>
    <phoneticPr fontId="1"/>
  </si>
  <si>
    <t>生徒９</t>
    <rPh sb="0" eb="2">
      <t>セイト</t>
    </rPh>
    <phoneticPr fontId="1"/>
  </si>
  <si>
    <t>生徒１０</t>
    <rPh sb="0" eb="2">
      <t>セイト</t>
    </rPh>
    <phoneticPr fontId="1"/>
  </si>
  <si>
    <t>生徒１１</t>
    <rPh sb="0" eb="2">
      <t>セイト</t>
    </rPh>
    <phoneticPr fontId="1"/>
  </si>
  <si>
    <t>生徒１２</t>
    <rPh sb="0" eb="2">
      <t>セイト</t>
    </rPh>
    <phoneticPr fontId="1"/>
  </si>
  <si>
    <t>生徒１３</t>
    <rPh sb="0" eb="2">
      <t>セイト</t>
    </rPh>
    <phoneticPr fontId="1"/>
  </si>
  <si>
    <t>生徒１４</t>
    <rPh sb="0" eb="2">
      <t>セイト</t>
    </rPh>
    <phoneticPr fontId="1"/>
  </si>
  <si>
    <t>生徒１５</t>
    <rPh sb="0" eb="2">
      <t>セイト</t>
    </rPh>
    <phoneticPr fontId="1"/>
  </si>
  <si>
    <t>生徒１６</t>
    <rPh sb="0" eb="2">
      <t>セイト</t>
    </rPh>
    <phoneticPr fontId="1"/>
  </si>
  <si>
    <t>生徒１７</t>
    <rPh sb="0" eb="2">
      <t>セイト</t>
    </rPh>
    <phoneticPr fontId="1"/>
  </si>
  <si>
    <t>生徒１８</t>
    <rPh sb="0" eb="2">
      <t>セイト</t>
    </rPh>
    <phoneticPr fontId="1"/>
  </si>
  <si>
    <t>生徒１９</t>
    <rPh sb="0" eb="2">
      <t>セイト</t>
    </rPh>
    <phoneticPr fontId="1"/>
  </si>
  <si>
    <t>生徒２０</t>
    <rPh sb="0" eb="2">
      <t>セイト</t>
    </rPh>
    <phoneticPr fontId="1"/>
  </si>
  <si>
    <t>表示例</t>
    <rPh sb="0" eb="3">
      <t>ヒョウジレイ</t>
    </rPh>
    <phoneticPr fontId="1"/>
  </si>
  <si>
    <t>小学校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</si>
</sst>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0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0" tint="-0.14999847407452621"/>
      <name val="游ゴシック"/>
      <family val="2"/>
      <scheme val="minor"/>
    </font>
    <font>
      <sz val="11"/>
      <color theme="1"/>
      <name val="Segoe UI"/>
      <family val="2"/>
    </font>
    <font>
      <b/>
      <sz val="11"/>
      <color theme="0"/>
      <name val="游ゴシック"/>
      <family val="2"/>
      <scheme val="minor"/>
    </font>
    <font>
      <sz val="11"/>
      <color theme="0" tint="-0.1499984740745262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0">
    <xf numFmtId="0" fontId="0" fillId="0" borderId="0" xfId="0"/>
    <xf numFmtId="0" fontId="3" fillId="0" borderId="0" xfId="1"/>
    <xf numFmtId="0" fontId="3" fillId="0" borderId="0" xfId="1" applyAlignment="1">
      <alignment horizontal="center" vertical="center"/>
    </xf>
    <xf numFmtId="176" fontId="3" fillId="0" borderId="0" xfId="1" applyNumberFormat="1" applyAlignment="1">
      <alignment horizontal="right" vertical="center"/>
    </xf>
    <xf numFmtId="0" fontId="3" fillId="0" borderId="0" xfId="1" applyAlignment="1">
      <alignment horizontal="right"/>
    </xf>
    <xf numFmtId="0" fontId="3" fillId="0" borderId="4" xfId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3" fillId="0" borderId="6" xfId="1" applyBorder="1" applyAlignment="1">
      <alignment horizontal="left" vertical="center"/>
    </xf>
    <xf numFmtId="0" fontId="3" fillId="0" borderId="7" xfId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3" fillId="0" borderId="9" xfId="1" applyBorder="1" applyAlignment="1">
      <alignment horizontal="left" vertical="center"/>
    </xf>
    <xf numFmtId="0" fontId="3" fillId="0" borderId="10" xfId="1" applyBorder="1" applyAlignment="1">
      <alignment horizontal="left" vertical="center"/>
    </xf>
    <xf numFmtId="0" fontId="3" fillId="2" borderId="7" xfId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left" vertical="center"/>
    </xf>
    <xf numFmtId="0" fontId="3" fillId="0" borderId="0" xfId="1" applyAlignment="1">
      <alignment horizontal="left" vertical="center"/>
    </xf>
    <xf numFmtId="0" fontId="3" fillId="0" borderId="11" xfId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3" fillId="0" borderId="15" xfId="1" applyBorder="1" applyAlignment="1">
      <alignment horizontal="left" vertical="center"/>
    </xf>
    <xf numFmtId="0" fontId="3" fillId="0" borderId="1" xfId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3" fillId="0" borderId="3" xfId="1" applyBorder="1" applyAlignment="1" applyProtection="1">
      <alignment horizontal="left" vertical="center"/>
      <protection hidden="1"/>
    </xf>
    <xf numFmtId="0" fontId="3" fillId="0" borderId="0" xfId="1" applyProtection="1">
      <protection hidden="1"/>
    </xf>
    <xf numFmtId="0" fontId="3" fillId="0" borderId="4" xfId="1" applyBorder="1" applyAlignment="1" applyProtection="1">
      <alignment horizontal="center" vertical="center"/>
      <protection hidden="1"/>
    </xf>
    <xf numFmtId="0" fontId="5" fillId="0" borderId="5" xfId="1" applyFont="1" applyBorder="1" applyAlignment="1" applyProtection="1">
      <alignment horizontal="center" vertical="center"/>
      <protection hidden="1"/>
    </xf>
    <xf numFmtId="0" fontId="3" fillId="0" borderId="6" xfId="1" applyBorder="1" applyAlignment="1" applyProtection="1">
      <alignment horizontal="left" vertical="center"/>
      <protection hidden="1"/>
    </xf>
    <xf numFmtId="0" fontId="3" fillId="0" borderId="7" xfId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3" fillId="0" borderId="9" xfId="1" applyBorder="1" applyAlignment="1" applyProtection="1">
      <alignment horizontal="left" vertical="center"/>
      <protection hidden="1"/>
    </xf>
    <xf numFmtId="0" fontId="3" fillId="0" borderId="16" xfId="1" applyBorder="1" applyAlignment="1" applyProtection="1">
      <alignment horizontal="center" vertical="center"/>
      <protection hidden="1"/>
    </xf>
    <xf numFmtId="0" fontId="5" fillId="0" borderId="14" xfId="1" applyFont="1" applyBorder="1" applyAlignment="1" applyProtection="1">
      <alignment horizontal="center" vertical="center"/>
      <protection hidden="1"/>
    </xf>
    <xf numFmtId="0" fontId="3" fillId="0" borderId="15" xfId="1" applyBorder="1" applyAlignment="1" applyProtection="1">
      <alignment horizontal="left" vertical="center"/>
      <protection hidden="1"/>
    </xf>
    <xf numFmtId="0" fontId="3" fillId="0" borderId="2" xfId="1" applyBorder="1" applyAlignment="1">
      <alignment horizontal="center" vertical="center"/>
    </xf>
    <xf numFmtId="0" fontId="3" fillId="0" borderId="2" xfId="1" applyBorder="1" applyAlignment="1">
      <alignment horizontal="left" vertical="center"/>
    </xf>
    <xf numFmtId="0" fontId="3" fillId="0" borderId="17" xfId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3" fillId="0" borderId="19" xfId="1" applyBorder="1" applyAlignment="1">
      <alignment horizontal="left" vertical="center"/>
    </xf>
    <xf numFmtId="0" fontId="3" fillId="0" borderId="5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0" xfId="2" applyProtection="1">
      <protection hidden="1"/>
    </xf>
    <xf numFmtId="0" fontId="3" fillId="0" borderId="0" xfId="2" applyAlignment="1" applyProtection="1">
      <alignment horizontal="center" vertical="center"/>
      <protection hidden="1"/>
    </xf>
    <xf numFmtId="176" fontId="3" fillId="0" borderId="0" xfId="2" applyNumberFormat="1" applyAlignment="1">
      <alignment horizontal="right" vertical="center"/>
    </xf>
    <xf numFmtId="0" fontId="3" fillId="0" borderId="1" xfId="2" applyBorder="1" applyAlignment="1" applyProtection="1">
      <alignment horizontal="center" vertical="center"/>
      <protection hidden="1"/>
    </xf>
    <xf numFmtId="0" fontId="5" fillId="0" borderId="2" xfId="2" applyFont="1" applyBorder="1" applyAlignment="1" applyProtection="1">
      <alignment horizontal="center" vertical="center"/>
      <protection hidden="1"/>
    </xf>
    <xf numFmtId="0" fontId="3" fillId="0" borderId="4" xfId="2" applyBorder="1" applyAlignment="1" applyProtection="1">
      <alignment horizontal="center" vertical="center"/>
      <protection hidden="1"/>
    </xf>
    <xf numFmtId="0" fontId="5" fillId="0" borderId="5" xfId="2" applyFont="1" applyBorder="1" applyAlignment="1" applyProtection="1">
      <alignment horizontal="center" vertical="center"/>
      <protection hidden="1"/>
    </xf>
    <xf numFmtId="0" fontId="3" fillId="0" borderId="7" xfId="2" applyBorder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/>
      <protection hidden="1"/>
    </xf>
    <xf numFmtId="0" fontId="3" fillId="2" borderId="7" xfId="2" applyFill="1" applyBorder="1" applyAlignment="1" applyProtection="1">
      <alignment horizontal="center" vertical="center"/>
      <protection hidden="1"/>
    </xf>
    <xf numFmtId="0" fontId="5" fillId="2" borderId="8" xfId="2" applyFont="1" applyFill="1" applyBorder="1" applyAlignment="1" applyProtection="1">
      <alignment horizontal="center" vertical="center"/>
      <protection hidden="1"/>
    </xf>
    <xf numFmtId="0" fontId="3" fillId="0" borderId="11" xfId="2" applyBorder="1" applyAlignment="1" applyProtection="1">
      <alignment horizontal="center" vertical="center"/>
      <protection hidden="1"/>
    </xf>
    <xf numFmtId="0" fontId="5" fillId="0" borderId="12" xfId="2" applyFont="1" applyBorder="1" applyAlignment="1" applyProtection="1">
      <alignment horizontal="center" vertical="center"/>
      <protection hidden="1"/>
    </xf>
    <xf numFmtId="0" fontId="3" fillId="0" borderId="13" xfId="2" applyBorder="1" applyAlignment="1" applyProtection="1">
      <alignment horizontal="center" vertical="center"/>
      <protection hidden="1"/>
    </xf>
    <xf numFmtId="0" fontId="5" fillId="0" borderId="14" xfId="2" applyFont="1" applyBorder="1" applyAlignment="1" applyProtection="1">
      <alignment horizontal="center" vertical="center"/>
      <protection hidden="1"/>
    </xf>
    <xf numFmtId="0" fontId="3" fillId="0" borderId="20" xfId="2" applyBorder="1" applyAlignment="1" applyProtection="1">
      <alignment horizontal="center" vertical="center"/>
      <protection hidden="1"/>
    </xf>
    <xf numFmtId="0" fontId="5" fillId="0" borderId="21" xfId="2" applyFont="1" applyBorder="1" applyAlignment="1" applyProtection="1">
      <alignment horizontal="center" vertical="center"/>
      <protection hidden="1"/>
    </xf>
    <xf numFmtId="0" fontId="3" fillId="0" borderId="22" xfId="2" applyBorder="1" applyAlignment="1" applyProtection="1">
      <alignment horizontal="center" vertical="center"/>
      <protection hidden="1"/>
    </xf>
    <xf numFmtId="0" fontId="5" fillId="0" borderId="23" xfId="2" applyFont="1" applyBorder="1" applyAlignment="1" applyProtection="1">
      <alignment horizontal="center" vertical="center"/>
      <protection hidden="1"/>
    </xf>
    <xf numFmtId="0" fontId="3" fillId="0" borderId="16" xfId="2" applyBorder="1" applyAlignment="1" applyProtection="1">
      <alignment horizontal="center" vertical="center"/>
      <protection hidden="1"/>
    </xf>
    <xf numFmtId="0" fontId="3" fillId="0" borderId="17" xfId="2" applyBorder="1" applyAlignment="1" applyProtection="1">
      <alignment horizontal="center" vertical="center"/>
      <protection hidden="1"/>
    </xf>
    <xf numFmtId="0" fontId="5" fillId="0" borderId="18" xfId="2" applyFont="1" applyBorder="1" applyAlignment="1" applyProtection="1">
      <alignment horizontal="center" vertical="center"/>
      <protection hidden="1"/>
    </xf>
    <xf numFmtId="0" fontId="3" fillId="0" borderId="4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0" xfId="2"/>
    <xf numFmtId="0" fontId="3" fillId="0" borderId="7" xfId="2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3" fillId="0" borderId="0" xfId="2" applyAlignment="1" applyProtection="1">
      <alignment horizontal="left" vertical="center"/>
      <protection hidden="1"/>
    </xf>
    <xf numFmtId="0" fontId="0" fillId="4" borderId="0" xfId="0" applyFill="1"/>
    <xf numFmtId="0" fontId="3" fillId="0" borderId="25" xfId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3" fillId="0" borderId="27" xfId="1" applyBorder="1" applyAlignment="1">
      <alignment horizontal="center" vertical="center"/>
    </xf>
    <xf numFmtId="0" fontId="3" fillId="0" borderId="22" xfId="2" applyBorder="1" applyAlignment="1">
      <alignment horizontal="center" vertical="center"/>
    </xf>
    <xf numFmtId="0" fontId="5" fillId="0" borderId="23" xfId="2" applyFont="1" applyBorder="1" applyAlignment="1">
      <alignment horizontal="center" vertical="center"/>
    </xf>
    <xf numFmtId="0" fontId="3" fillId="0" borderId="24" xfId="1" applyBorder="1" applyAlignment="1">
      <alignment horizontal="left" vertical="center"/>
    </xf>
    <xf numFmtId="0" fontId="3" fillId="3" borderId="29" xfId="2" applyFill="1" applyBorder="1" applyAlignment="1" applyProtection="1">
      <alignment horizontal="left" vertical="center"/>
      <protection hidden="1"/>
    </xf>
    <xf numFmtId="0" fontId="3" fillId="3" borderId="30" xfId="2" applyFill="1" applyBorder="1" applyAlignment="1" applyProtection="1">
      <alignment horizontal="left" vertical="center"/>
      <protection hidden="1"/>
    </xf>
    <xf numFmtId="0" fontId="3" fillId="2" borderId="30" xfId="2" applyFill="1" applyBorder="1" applyAlignment="1" applyProtection="1">
      <alignment horizontal="left" vertical="center"/>
      <protection hidden="1"/>
    </xf>
    <xf numFmtId="0" fontId="3" fillId="3" borderId="31" xfId="2" applyFill="1" applyBorder="1" applyAlignment="1" applyProtection="1">
      <alignment horizontal="left" vertical="center"/>
      <protection hidden="1"/>
    </xf>
    <xf numFmtId="0" fontId="3" fillId="3" borderId="32" xfId="2" applyFill="1" applyBorder="1" applyAlignment="1" applyProtection="1">
      <alignment horizontal="left" vertical="center"/>
      <protection hidden="1"/>
    </xf>
    <xf numFmtId="0" fontId="3" fillId="0" borderId="30" xfId="2" applyBorder="1" applyAlignment="1" applyProtection="1">
      <alignment horizontal="left" vertical="center"/>
      <protection hidden="1"/>
    </xf>
    <xf numFmtId="0" fontId="3" fillId="3" borderId="33" xfId="2" applyFill="1" applyBorder="1" applyAlignment="1" applyProtection="1">
      <alignment horizontal="left" vertical="center"/>
      <protection hidden="1"/>
    </xf>
    <xf numFmtId="0" fontId="3" fillId="3" borderId="34" xfId="2" applyFill="1" applyBorder="1" applyAlignment="1" applyProtection="1">
      <alignment horizontal="left" vertical="center"/>
      <protection hidden="1"/>
    </xf>
    <xf numFmtId="0" fontId="3" fillId="0" borderId="28" xfId="2" applyBorder="1" applyAlignment="1" applyProtection="1">
      <alignment horizontal="left" vertical="center"/>
      <protection hidden="1"/>
    </xf>
    <xf numFmtId="0" fontId="3" fillId="0" borderId="29" xfId="2" applyBorder="1" applyAlignment="1" applyProtection="1">
      <alignment horizontal="left" vertical="center"/>
      <protection hidden="1"/>
    </xf>
    <xf numFmtId="0" fontId="3" fillId="0" borderId="32" xfId="2" applyBorder="1" applyAlignment="1" applyProtection="1">
      <alignment horizontal="left" vertical="center"/>
      <protection hidden="1"/>
    </xf>
    <xf numFmtId="0" fontId="3" fillId="0" borderId="35" xfId="2" applyBorder="1" applyAlignment="1" applyProtection="1">
      <alignment horizontal="left" vertical="center"/>
      <protection hidden="1"/>
    </xf>
    <xf numFmtId="0" fontId="3" fillId="0" borderId="29" xfId="2" applyBorder="1" applyAlignment="1">
      <alignment horizontal="left" vertical="center"/>
    </xf>
    <xf numFmtId="0" fontId="3" fillId="0" borderId="30" xfId="2" applyBorder="1" applyAlignment="1">
      <alignment horizontal="left" vertical="center"/>
    </xf>
    <xf numFmtId="0" fontId="3" fillId="0" borderId="25" xfId="2" applyBorder="1" applyAlignment="1" applyProtection="1">
      <alignment horizontal="center" vertical="center"/>
      <protection hidden="1"/>
    </xf>
    <xf numFmtId="0" fontId="5" fillId="0" borderId="26" xfId="2" applyFont="1" applyBorder="1" applyAlignment="1" applyProtection="1">
      <alignment horizontal="center" vertical="center"/>
      <protection hidden="1"/>
    </xf>
    <xf numFmtId="0" fontId="3" fillId="0" borderId="36" xfId="2" applyBorder="1" applyAlignment="1" applyProtection="1">
      <alignment horizontal="center" vertical="center"/>
      <protection hidden="1"/>
    </xf>
    <xf numFmtId="0" fontId="3" fillId="0" borderId="23" xfId="2" applyBorder="1" applyAlignment="1" applyProtection="1">
      <alignment horizontal="center" vertical="center"/>
      <protection hidden="1"/>
    </xf>
    <xf numFmtId="0" fontId="3" fillId="0" borderId="34" xfId="2" applyBorder="1" applyAlignment="1" applyProtection="1">
      <alignment horizontal="left" vertical="center"/>
      <protection hidden="1"/>
    </xf>
    <xf numFmtId="0" fontId="6" fillId="0" borderId="0" xfId="0" applyFont="1"/>
    <xf numFmtId="0" fontId="0" fillId="5" borderId="0" xfId="0" applyFill="1"/>
    <xf numFmtId="0" fontId="7" fillId="0" borderId="0" xfId="0" applyFont="1" applyAlignment="1">
      <alignment vertical="center"/>
    </xf>
    <xf numFmtId="49" fontId="0" fillId="0" borderId="0" xfId="0" applyNumberFormat="1"/>
    <xf numFmtId="0" fontId="8" fillId="6" borderId="37" xfId="0" applyFont="1" applyFill="1" applyBorder="1"/>
    <xf numFmtId="0" fontId="8" fillId="6" borderId="38" xfId="0" applyFont="1" applyFill="1" applyBorder="1"/>
    <xf numFmtId="0" fontId="8" fillId="6" borderId="39" xfId="0" applyFont="1" applyFill="1" applyBorder="1"/>
    <xf numFmtId="0" fontId="0" fillId="7" borderId="37" xfId="0" applyFill="1" applyBorder="1"/>
    <xf numFmtId="0" fontId="0" fillId="7" borderId="38" xfId="0" applyFill="1" applyBorder="1"/>
    <xf numFmtId="0" fontId="0" fillId="7" borderId="39" xfId="0" applyFill="1" applyBorder="1"/>
    <xf numFmtId="49" fontId="0" fillId="7" borderId="38" xfId="0" applyNumberForma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9" fillId="0" borderId="0" xfId="0" applyFont="1"/>
  </cellXfs>
  <cellStyles count="3">
    <cellStyle name="標準" xfId="0" builtinId="0"/>
    <cellStyle name="標準 15 2 2 4" xfId="2" xr:uid="{605535A9-D279-4AE3-A4AD-43E83B2CFEAE}"/>
    <cellStyle name="標準 2" xfId="1" xr:uid="{44A7791F-DCAB-4178-ADC9-8266A2012FE9}"/>
  </cellStyles>
  <dxfs count="18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numFmt numFmtId="0" formatCode="General"/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217715</xdr:colOff>
      <xdr:row>6</xdr:row>
      <xdr:rowOff>182335</xdr:rowOff>
    </xdr:from>
    <xdr:to>
      <xdr:col>14</xdr:col>
      <xdr:colOff>95250</xdr:colOff>
      <xdr:row>11</xdr:row>
      <xdr:rowOff>125186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31C6B14-4347-CF5B-4B71-32600E906AF0}"/>
            </a:ext>
          </a:extLst>
        </xdr:cNvPr>
        <xdr:cNvSpPr txBox="1"/>
      </xdr:nvSpPr>
      <xdr:spPr>
        <a:xfrm>
          <a:off x="7180490" y="1611085"/>
          <a:ext cx="3354160" cy="1133476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学年・組・番号・氏名は</a:t>
          </a:r>
          <a:endParaRPr kumimoji="1" lang="en-US" altLang="ja-JP" sz="1100"/>
        </a:p>
        <a:p>
          <a:r>
            <a:rPr kumimoji="1" lang="ja-JP" altLang="en-US" sz="1100" b="1">
              <a:solidFill>
                <a:srgbClr val="FF0000"/>
              </a:solidFill>
            </a:rPr>
            <a:t>「上に詰めて」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/>
            <a:t>入力してください。</a:t>
          </a:r>
          <a:endParaRPr kumimoji="1" lang="en-US" altLang="ja-JP" sz="1100"/>
        </a:p>
        <a:p>
          <a:r>
            <a:rPr kumimoji="1" lang="ja-JP" altLang="en-US" sz="1100"/>
            <a:t>「答案番号の数字と出席番号がずれてもよい）</a:t>
          </a:r>
          <a:endParaRPr kumimoji="1" lang="en-US" altLang="ja-JP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32EDD7-1943-4D3F-9110-F3182099B002}" name="テーブル3" displayName="テーブル3" ref="A6:I326" totalsRowShown="0">
  <autoFilter ref="A6:I326" xr:uid="{A632EDD7-1943-4D3F-9110-F3182099B0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7" xr3:uid="{69202995-F253-4F04-B79A-0C3A37F108EC}" name="通しNo" dataDxfId="17"/>
    <tableColumn id="1" xr3:uid="{A087E69F-F8C5-4847-BEF2-A986412A99D2}" name="学校コード" dataDxfId="16">
      <calculatedColumnFormula>設定!$A$14</calculatedColumnFormula>
    </tableColumn>
    <tableColumn id="2" xr3:uid="{D9513EE1-B24C-47C4-8FD0-04F8C40530CE}" name="数字" dataDxfId="15"/>
    <tableColumn id="3" xr3:uid="{C8B0FD5B-D5D5-4AB5-9FE1-97182514D4AE}" name="記号2"/>
    <tableColumn id="4" xr3:uid="{443D76FF-6639-455C-87C1-3C8E986EC265}" name="児童・生徒答案番号" dataDxfId="14">
      <calculatedColumnFormula>テーブル3[[#This Row],[学校コード]]&amp;テーブル3[[#This Row],[数字]]&amp;テーブル3[[#This Row],[記号2]]</calculatedColumnFormula>
    </tableColumn>
    <tableColumn id="8" xr3:uid="{08499C98-B445-42CB-A32B-AC0ED7EB4D8A}" name="学年" dataDxfId="13"/>
    <tableColumn id="9" xr3:uid="{DB30C45B-E0AF-4ECA-A9B0-EC4BDB5E7E02}" name="組" dataDxfId="12"/>
    <tableColumn id="10" xr3:uid="{D9309B44-1F78-4BD9-A2AC-FA355DCCBFA7}" name="番号" dataDxfId="11"/>
    <tableColumn id="11" xr3:uid="{20A589A6-8523-4798-A2CD-10924975D261}" name="氏名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040B5-8ED9-4622-B97A-11270A60D126}" name="_tablesho" displayName="_tablesho" ref="A2:D318" totalsRowShown="0" tableBorderDxfId="9">
  <autoFilter ref="A2:D318" xr:uid="{BAA040B5-8ED9-4622-B97A-11270A60D126}"/>
  <tableColumns count="4">
    <tableColumn id="1" xr3:uid="{491B8DD5-3BEA-4893-B7F2-0E646D34D988}" name="コード番号" dataDxfId="8" dataCellStyle="標準 2"/>
    <tableColumn id="2" xr3:uid="{1FCFAC67-4396-471C-8AD5-FF60BE6F115F}" name="事務所名" dataDxfId="7" dataCellStyle="標準 2"/>
    <tableColumn id="3" xr3:uid="{7F47ACB8-B269-4B36-B753-43E54E4CCBCB}" name="教育委員会名" dataDxfId="6" dataCellStyle="標準 2"/>
    <tableColumn id="4" xr3:uid="{F9A90EA4-378E-491E-B7DD-28208954ED1D}" name="小学校名" dataDxfId="5" dataCellStyle="標準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1CD57-71E2-4773-9D23-F8794F6BC098}" name="_tablechu" displayName="_tablechu" ref="A2:D202" totalsRowShown="0" tableBorderDxfId="4">
  <autoFilter ref="A2:D202" xr:uid="{9B11CD57-71E2-4773-9D23-F8794F6BC098}"/>
  <tableColumns count="4">
    <tableColumn id="1" xr3:uid="{F0D5E793-C817-4F32-AB01-1630157B5558}" name="コード番号" dataDxfId="3" dataCellStyle="標準 15 2 2 4"/>
    <tableColumn id="2" xr3:uid="{4C9E363B-1373-4132-86FA-FDEFFDA595FA}" name="事務所名" dataDxfId="2" dataCellStyle="標準 15 2 2 4"/>
    <tableColumn id="3" xr3:uid="{C563F21D-1CD4-42DD-9880-264E4F290A2D}" name="教育委員会名" dataDxfId="1" dataCellStyle="標準 15 2 2 4"/>
    <tableColumn id="4" xr3:uid="{427C8620-C8C1-464C-9F85-E4D701926D9B}" name="中学校名" dataDxfId="0" dataCellStyle="標準 15 2 2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635F-B9AD-486B-B551-FBE980581C0B}">
  <dimension ref="A1:N43"/>
  <sheetViews>
    <sheetView tabSelected="1" workbookViewId="0">
      <selection activeCell="B13" sqref="B13"/>
    </sheetView>
  </sheetViews>
  <sheetFormatPr defaultRowHeight="18.75" x14ac:dyDescent="0.4"/>
  <cols>
    <col min="1" max="1" width="23.125" bestFit="1" customWidth="1"/>
    <col min="12" max="12" width="11" style="95" bestFit="1" customWidth="1"/>
    <col min="13" max="13" width="17.25" style="95" bestFit="1" customWidth="1"/>
    <col min="14" max="14" width="9" style="95"/>
  </cols>
  <sheetData>
    <row r="1" spans="1:14" x14ac:dyDescent="0.4">
      <c r="A1" t="s">
        <v>564</v>
      </c>
      <c r="I1" s="95" t="s">
        <v>913</v>
      </c>
      <c r="J1" s="109" t="s">
        <v>914</v>
      </c>
      <c r="L1" s="95" t="s">
        <v>567</v>
      </c>
      <c r="M1" s="95" t="s">
        <v>568</v>
      </c>
      <c r="N1" s="95" t="s">
        <v>569</v>
      </c>
    </row>
    <row r="2" spans="1:14" x14ac:dyDescent="0.4">
      <c r="A2" s="69" t="s">
        <v>939</v>
      </c>
      <c r="C2" s="95" t="str">
        <f>IF(A2="小学校","_tablesho",IF(A2="中学校","_tablechu","校種未選択"))</f>
        <v>_tablesho</v>
      </c>
      <c r="I2" s="109" t="s">
        <v>920</v>
      </c>
      <c r="J2" s="109" t="s">
        <v>916</v>
      </c>
      <c r="L2" s="95" t="str" cm="1">
        <f t="array" aca="1" ref="L2:L10" ca="1">IF(A2="","校種未選択",_xlfn.UNIQUE(INDIRECT(C2&amp;"[事務所名]")))</f>
        <v>盛岡</v>
      </c>
      <c r="M2" s="95" t="str" cm="1">
        <f t="array" aca="1" ref="M2:M9" ca="1">IF(A5="","教育事務所未選択",_xlfn.UNIQUE(_xlfn._xlws.FILTER(INDIRECT(C2&amp;"[教育委員会名]"),INDIRECT(C2&amp;"[事務所名]")=A5)))</f>
        <v>盛岡市</v>
      </c>
      <c r="N2" s="95" t="str" cm="1">
        <f t="array" aca="1" ref="N2:N43" ca="1">IF(A8="","市町村未選択",_xlfn.UNIQUE(_xlfn._xlws.FILTER(INDIRECT(C2&amp;"["&amp;C3&amp;"]"),INDIRECT(C2&amp;"[教育委員会名]")=A8)))</f>
        <v>盛岡市立仁王小学校</v>
      </c>
    </row>
    <row r="3" spans="1:14" x14ac:dyDescent="0.4">
      <c r="C3" s="95" t="str">
        <f>IF(A2="小学校","小学校名",IF(A2="中学校","中学校名","校種未選択"))</f>
        <v>小学校名</v>
      </c>
      <c r="L3" s="95" t="str">
        <f ca="1"/>
        <v>中部</v>
      </c>
      <c r="M3" s="95" t="str">
        <f ca="1"/>
        <v>岩手町</v>
      </c>
      <c r="N3" s="95" t="str">
        <f ca="1"/>
        <v>盛岡市立城南小学校</v>
      </c>
    </row>
    <row r="4" spans="1:14" x14ac:dyDescent="0.4">
      <c r="A4" t="s">
        <v>563</v>
      </c>
      <c r="J4" s="95" t="s">
        <v>915</v>
      </c>
      <c r="L4" s="95" t="str">
        <f ca="1"/>
        <v>県南</v>
      </c>
      <c r="M4" s="95" t="str">
        <f ca="1"/>
        <v>雫石町</v>
      </c>
      <c r="N4" s="95" t="str">
        <f ca="1"/>
        <v>盛岡市立桜城小学校</v>
      </c>
    </row>
    <row r="5" spans="1:14" x14ac:dyDescent="0.4">
      <c r="A5" s="69" t="s">
        <v>5</v>
      </c>
      <c r="J5" s="109" t="s">
        <v>918</v>
      </c>
      <c r="L5" s="95" t="str">
        <f ca="1"/>
        <v>沿岸南部</v>
      </c>
      <c r="M5" s="95" t="str">
        <f ca="1"/>
        <v>葛巻町</v>
      </c>
      <c r="N5" s="95" t="str">
        <f ca="1"/>
        <v>盛岡市立厨川小学校</v>
      </c>
    </row>
    <row r="6" spans="1:14" x14ac:dyDescent="0.4">
      <c r="J6" s="109" t="s">
        <v>917</v>
      </c>
      <c r="L6" s="95" t="str">
        <f ca="1"/>
        <v>宮古</v>
      </c>
      <c r="M6" s="95" t="str">
        <f ca="1"/>
        <v>滝沢市</v>
      </c>
      <c r="N6" s="95" t="str">
        <f ca="1"/>
        <v>盛岡市立仙北小学校</v>
      </c>
    </row>
    <row r="7" spans="1:14" x14ac:dyDescent="0.4">
      <c r="A7" t="s">
        <v>570</v>
      </c>
      <c r="J7" s="109" t="s">
        <v>919</v>
      </c>
      <c r="L7" s="95" t="str">
        <f ca="1"/>
        <v>県北</v>
      </c>
      <c r="M7" s="95" t="str">
        <f ca="1"/>
        <v>紫波町</v>
      </c>
      <c r="N7" s="95" t="str">
        <f ca="1"/>
        <v>盛岡市立杜陵小学校</v>
      </c>
    </row>
    <row r="8" spans="1:14" x14ac:dyDescent="0.4">
      <c r="A8" s="69" t="s">
        <v>6</v>
      </c>
      <c r="L8" s="95" t="str">
        <f ca="1"/>
        <v>国独</v>
      </c>
      <c r="M8" s="95" t="str">
        <f ca="1"/>
        <v>矢巾町</v>
      </c>
      <c r="N8" s="95" t="str">
        <f ca="1"/>
        <v>盛岡市立山岸小学校</v>
      </c>
    </row>
    <row r="9" spans="1:14" x14ac:dyDescent="0.4">
      <c r="L9" s="95" t="str">
        <f ca="1"/>
        <v>県立</v>
      </c>
      <c r="M9" s="95" t="str">
        <f ca="1"/>
        <v>八幡平市</v>
      </c>
      <c r="N9" s="95" t="str">
        <f ca="1"/>
        <v>盛岡市立大慈寺小学校</v>
      </c>
    </row>
    <row r="10" spans="1:14" x14ac:dyDescent="0.4">
      <c r="A10" t="s">
        <v>571</v>
      </c>
      <c r="L10" s="95" t="str">
        <f ca="1"/>
        <v>その他</v>
      </c>
      <c r="N10" s="95" t="str">
        <f ca="1"/>
        <v>盛岡市立米内小学校</v>
      </c>
    </row>
    <row r="11" spans="1:14" x14ac:dyDescent="0.4">
      <c r="A11" s="69" t="s">
        <v>7</v>
      </c>
      <c r="N11" s="95" t="str">
        <f ca="1"/>
        <v>盛岡市立土淵小学校</v>
      </c>
    </row>
    <row r="12" spans="1:14" x14ac:dyDescent="0.4">
      <c r="N12" s="95" t="str">
        <f ca="1"/>
        <v>盛岡市立中野小学校</v>
      </c>
    </row>
    <row r="13" spans="1:14" x14ac:dyDescent="0.4">
      <c r="A13" t="s">
        <v>572</v>
      </c>
      <c r="N13" s="95" t="str">
        <f ca="1"/>
        <v>盛岡市立本宮小学校</v>
      </c>
    </row>
    <row r="14" spans="1:14" x14ac:dyDescent="0.4">
      <c r="A14" s="96" cm="1">
        <f t="array" aca="1" ref="A14" ca="1">IFERROR(IF(A11="","学校未選択",_xlfn.XLOOKUP(A11,INDIRECT(C2&amp;"["&amp;C3&amp;"]"),INDIRECT(C2&amp;"[コード番号]"))),"選択条件が変わっています。上から順に選び直してください。")</f>
        <v>110101</v>
      </c>
      <c r="N14" s="95" t="str">
        <f ca="1"/>
        <v>盛岡市立青山小学校</v>
      </c>
    </row>
    <row r="15" spans="1:14" x14ac:dyDescent="0.4">
      <c r="N15" s="95" t="str">
        <f ca="1"/>
        <v>盛岡市立北厨川小学校</v>
      </c>
    </row>
    <row r="16" spans="1:14" x14ac:dyDescent="0.4">
      <c r="N16" s="95" t="str">
        <f ca="1"/>
        <v>盛岡市立河北小学校</v>
      </c>
    </row>
    <row r="17" spans="14:14" x14ac:dyDescent="0.4">
      <c r="N17" s="95" t="str">
        <f ca="1"/>
        <v>盛岡市立上田小学校</v>
      </c>
    </row>
    <row r="18" spans="14:14" x14ac:dyDescent="0.4">
      <c r="N18" s="95" t="str">
        <f ca="1"/>
        <v>盛岡市立山王小学校</v>
      </c>
    </row>
    <row r="19" spans="14:14" x14ac:dyDescent="0.4">
      <c r="N19" s="95" t="str">
        <f ca="1"/>
        <v>盛岡市立緑が丘小学校</v>
      </c>
    </row>
    <row r="20" spans="14:14" x14ac:dyDescent="0.4">
      <c r="N20" s="95" t="str">
        <f ca="1"/>
        <v>盛岡市立太田小学校</v>
      </c>
    </row>
    <row r="21" spans="14:14" x14ac:dyDescent="0.4">
      <c r="N21" s="95" t="str">
        <f ca="1"/>
        <v>盛岡市立太田東小学校</v>
      </c>
    </row>
    <row r="22" spans="14:14" x14ac:dyDescent="0.4">
      <c r="N22" s="95" t="str">
        <f ca="1"/>
        <v>盛岡市立城北小学校</v>
      </c>
    </row>
    <row r="23" spans="14:14" x14ac:dyDescent="0.4">
      <c r="N23" s="95" t="str">
        <f ca="1"/>
        <v>盛岡市立大新小学校</v>
      </c>
    </row>
    <row r="24" spans="14:14" x14ac:dyDescent="0.4">
      <c r="N24" s="95" t="str">
        <f ca="1"/>
        <v>盛岡市立松園小学校</v>
      </c>
    </row>
    <row r="25" spans="14:14" x14ac:dyDescent="0.4">
      <c r="N25" s="95" t="str">
        <f ca="1"/>
        <v>盛岡市立月が丘小学校</v>
      </c>
    </row>
    <row r="26" spans="14:14" x14ac:dyDescent="0.4">
      <c r="N26" s="95" t="str">
        <f ca="1"/>
        <v>盛岡市立高松小学校</v>
      </c>
    </row>
    <row r="27" spans="14:14" x14ac:dyDescent="0.4">
      <c r="N27" s="95" t="str">
        <f ca="1"/>
        <v>盛岡市立東松園小学校</v>
      </c>
    </row>
    <row r="28" spans="14:14" x14ac:dyDescent="0.4">
      <c r="N28" s="95" t="str">
        <f ca="1"/>
        <v>盛岡市立見前小学校</v>
      </c>
    </row>
    <row r="29" spans="14:14" x14ac:dyDescent="0.4">
      <c r="N29" s="95" t="str">
        <f ca="1"/>
        <v>盛岡市立飯岡小学校</v>
      </c>
    </row>
    <row r="30" spans="14:14" x14ac:dyDescent="0.4">
      <c r="N30" s="95" t="str">
        <f ca="1"/>
        <v>盛岡市立羽場小学校</v>
      </c>
    </row>
    <row r="31" spans="14:14" x14ac:dyDescent="0.4">
      <c r="N31" s="95" t="str">
        <f ca="1"/>
        <v>盛岡市立永井小学校</v>
      </c>
    </row>
    <row r="32" spans="14:14" x14ac:dyDescent="0.4">
      <c r="N32" s="95" t="str">
        <f ca="1"/>
        <v>盛岡市立手代森小学校</v>
      </c>
    </row>
    <row r="33" spans="14:14" x14ac:dyDescent="0.4">
      <c r="N33" s="95" t="str">
        <f ca="1"/>
        <v>盛岡市立津志田小学校</v>
      </c>
    </row>
    <row r="34" spans="14:14" x14ac:dyDescent="0.4">
      <c r="N34" s="95" t="str">
        <f ca="1"/>
        <v>盛岡市立向中野小学校</v>
      </c>
    </row>
    <row r="35" spans="14:14" x14ac:dyDescent="0.4">
      <c r="N35" s="95" t="str">
        <f ca="1"/>
        <v>盛岡市立見前南小学校</v>
      </c>
    </row>
    <row r="36" spans="14:14" x14ac:dyDescent="0.4">
      <c r="N36" s="95" t="str">
        <f ca="1"/>
        <v>盛岡市立都南東小学校</v>
      </c>
    </row>
    <row r="37" spans="14:14" x14ac:dyDescent="0.4">
      <c r="N37" s="95" t="str">
        <f ca="1"/>
        <v>盛岡市立北松園小学校</v>
      </c>
    </row>
    <row r="38" spans="14:14" x14ac:dyDescent="0.4">
      <c r="N38" s="95" t="str">
        <f ca="1"/>
        <v>盛岡市立玉山小学校</v>
      </c>
    </row>
    <row r="39" spans="14:14" x14ac:dyDescent="0.4">
      <c r="N39" s="95" t="str">
        <f ca="1"/>
        <v>盛岡市立渋民小学校</v>
      </c>
    </row>
    <row r="40" spans="14:14" x14ac:dyDescent="0.4">
      <c r="N40" s="95" t="str">
        <f ca="1"/>
        <v>盛岡市立巻堀小学校</v>
      </c>
    </row>
    <row r="41" spans="14:14" x14ac:dyDescent="0.4">
      <c r="N41" s="95" t="str">
        <f ca="1"/>
        <v>盛岡市立好摩小学校</v>
      </c>
    </row>
    <row r="42" spans="14:14" x14ac:dyDescent="0.4">
      <c r="N42" s="95" t="str">
        <f ca="1"/>
        <v>盛岡市教育委員会</v>
      </c>
    </row>
    <row r="43" spans="14:14" x14ac:dyDescent="0.4">
      <c r="N43" s="95" t="str">
        <f ca="1"/>
        <v>盛岡教育事務所</v>
      </c>
    </row>
  </sheetData>
  <phoneticPr fontId="1"/>
  <dataValidations count="5">
    <dataValidation type="list" allowBlank="1" showInputMessage="1" showErrorMessage="1" sqref="A5" xr:uid="{F807FF46-52F1-480A-8523-2FA58FDE939F}">
      <formula1>_xlfn.ANCHORARRAY($L$2)</formula1>
    </dataValidation>
    <dataValidation type="list" allowBlank="1" showInputMessage="1" showErrorMessage="1" sqref="A2" xr:uid="{9E22E6EF-7C08-421A-A64A-5A198DD1A5A3}">
      <formula1>"小学校,中学校"</formula1>
    </dataValidation>
    <dataValidation type="list" allowBlank="1" showInputMessage="1" showErrorMessage="1" sqref="A8" xr:uid="{CD2D22AB-AE8D-456F-AAA3-74E5BD337D38}">
      <formula1>_xlfn.ANCHORARRAY($M$2)</formula1>
    </dataValidation>
    <dataValidation type="list" allowBlank="1" showInputMessage="1" showErrorMessage="1" sqref="A11" xr:uid="{B5338E0D-1ADC-4DF0-8C5C-E014A54D1859}">
      <formula1>_xlfn.ANCHORARRAY($N$2)</formula1>
    </dataValidation>
    <dataValidation type="list" allowBlank="1" showInputMessage="1" showErrorMessage="1" sqref="J2" xr:uid="{F46A146B-2D8F-4ADE-A69D-AEEE2DA290D4}">
      <formula1>$J$4:$J$7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0CF1-D8B8-47B1-B447-F569D3CF570E}">
  <dimension ref="A1:N327"/>
  <sheetViews>
    <sheetView zoomScaleNormal="100" workbookViewId="0">
      <selection activeCell="E7" sqref="E7:E26"/>
    </sheetView>
  </sheetViews>
  <sheetFormatPr defaultRowHeight="18.75" x14ac:dyDescent="0.4"/>
  <cols>
    <col min="1" max="1" width="10.125" bestFit="1" customWidth="1"/>
    <col min="2" max="2" width="11.25" bestFit="1" customWidth="1"/>
    <col min="3" max="3" width="7.5" bestFit="1" customWidth="1"/>
    <col min="4" max="4" width="6.625" bestFit="1" customWidth="1"/>
    <col min="5" max="5" width="21.5" bestFit="1" customWidth="1"/>
    <col min="6" max="6" width="5.5" bestFit="1" customWidth="1"/>
    <col min="7" max="7" width="3.625" bestFit="1" customWidth="1"/>
    <col min="8" max="8" width="5.5" bestFit="1" customWidth="1"/>
    <col min="9" max="9" width="19.75" customWidth="1"/>
  </cols>
  <sheetData>
    <row r="1" spans="1:14" x14ac:dyDescent="0.4">
      <c r="A1" t="s">
        <v>938</v>
      </c>
    </row>
    <row r="2" spans="1:14" x14ac:dyDescent="0.4">
      <c r="A2" s="99" t="s">
        <v>903</v>
      </c>
      <c r="B2" s="100" t="s">
        <v>572</v>
      </c>
      <c r="C2" s="100" t="s">
        <v>573</v>
      </c>
      <c r="D2" s="100" t="s">
        <v>922</v>
      </c>
      <c r="E2" s="100" t="s">
        <v>590</v>
      </c>
      <c r="F2" s="100" t="s">
        <v>904</v>
      </c>
      <c r="G2" s="100" t="s">
        <v>905</v>
      </c>
      <c r="H2" s="100" t="s">
        <v>906</v>
      </c>
      <c r="I2" s="101" t="s">
        <v>907</v>
      </c>
    </row>
    <row r="3" spans="1:14" x14ac:dyDescent="0.4">
      <c r="A3" s="102">
        <v>1</v>
      </c>
      <c r="B3" s="103">
        <v>999999</v>
      </c>
      <c r="C3" s="105" t="s">
        <v>582</v>
      </c>
      <c r="D3" s="103" t="s">
        <v>574</v>
      </c>
      <c r="E3" s="103" t="str">
        <f>B3&amp;C3&amp;D3</f>
        <v>999999001A</v>
      </c>
      <c r="F3" s="103">
        <v>1</v>
      </c>
      <c r="G3" s="103">
        <v>1</v>
      </c>
      <c r="H3" s="103">
        <v>1</v>
      </c>
      <c r="I3" s="104" t="s">
        <v>908</v>
      </c>
    </row>
    <row r="5" spans="1:14" x14ac:dyDescent="0.4">
      <c r="E5" t="s">
        <v>921</v>
      </c>
    </row>
    <row r="6" spans="1:14" ht="19.5" thickBot="1" x14ac:dyDescent="0.45">
      <c r="A6" t="s">
        <v>903</v>
      </c>
      <c r="B6" t="s">
        <v>572</v>
      </c>
      <c r="C6" t="s">
        <v>573</v>
      </c>
      <c r="D6" t="s">
        <v>922</v>
      </c>
      <c r="E6" t="s">
        <v>590</v>
      </c>
      <c r="F6" s="107" t="s">
        <v>904</v>
      </c>
      <c r="G6" s="107" t="s">
        <v>905</v>
      </c>
      <c r="H6" s="107" t="s">
        <v>906</v>
      </c>
      <c r="I6" s="107" t="s">
        <v>907</v>
      </c>
    </row>
    <row r="7" spans="1:14" ht="19.5" thickTop="1" x14ac:dyDescent="0.4">
      <c r="A7">
        <v>1</v>
      </c>
      <c r="B7">
        <f ca="1">設定!$A$14</f>
        <v>110101</v>
      </c>
      <c r="C7" s="98" t="s">
        <v>582</v>
      </c>
      <c r="D7" t="s">
        <v>574</v>
      </c>
      <c r="E7" s="106" t="str">
        <f ca="1">テーブル3[[#This Row],[学校コード]]&amp;テーブル3[[#This Row],[数字]]&amp;テーブル3[[#This Row],[記号2]]</f>
        <v>110101001A</v>
      </c>
      <c r="F7">
        <v>1</v>
      </c>
      <c r="G7">
        <v>1</v>
      </c>
      <c r="H7">
        <v>1</v>
      </c>
      <c r="I7" s="106" t="s">
        <v>908</v>
      </c>
    </row>
    <row r="8" spans="1:14" x14ac:dyDescent="0.4">
      <c r="A8">
        <v>2</v>
      </c>
      <c r="B8">
        <f ca="1">設定!$A$14</f>
        <v>110101</v>
      </c>
      <c r="C8" s="98" t="s">
        <v>583</v>
      </c>
      <c r="D8" t="s">
        <v>575</v>
      </c>
      <c r="E8" s="106" t="str">
        <f ca="1">テーブル3[[#This Row],[学校コード]]&amp;テーブル3[[#This Row],[数字]]&amp;テーブル3[[#This Row],[記号2]]</f>
        <v>110101002H</v>
      </c>
      <c r="F8">
        <v>1</v>
      </c>
      <c r="G8">
        <v>1</v>
      </c>
      <c r="H8">
        <v>2</v>
      </c>
      <c r="I8" s="106" t="s">
        <v>909</v>
      </c>
    </row>
    <row r="9" spans="1:14" x14ac:dyDescent="0.4">
      <c r="A9">
        <v>3</v>
      </c>
      <c r="B9">
        <f ca="1">設定!$A$14</f>
        <v>110101</v>
      </c>
      <c r="C9" s="98" t="s">
        <v>584</v>
      </c>
      <c r="D9" t="s">
        <v>576</v>
      </c>
      <c r="E9" s="106" t="str">
        <f ca="1">テーブル3[[#This Row],[学校コード]]&amp;テーブル3[[#This Row],[数字]]&amp;テーブル3[[#This Row],[記号2]]</f>
        <v>110101003K</v>
      </c>
      <c r="F9">
        <v>1</v>
      </c>
      <c r="G9">
        <v>2</v>
      </c>
      <c r="H9">
        <v>3</v>
      </c>
      <c r="I9" s="106" t="s">
        <v>910</v>
      </c>
      <c r="N9" s="97"/>
    </row>
    <row r="10" spans="1:14" x14ac:dyDescent="0.4">
      <c r="A10">
        <v>4</v>
      </c>
      <c r="B10">
        <f ca="1">設定!$A$14</f>
        <v>110101</v>
      </c>
      <c r="C10" s="98" t="s">
        <v>585</v>
      </c>
      <c r="D10" t="s">
        <v>577</v>
      </c>
      <c r="E10" s="106" t="str">
        <f ca="1">テーブル3[[#This Row],[学校コード]]&amp;テーブル3[[#This Row],[数字]]&amp;テーブル3[[#This Row],[記号2]]</f>
        <v>110101004M</v>
      </c>
      <c r="F10">
        <v>1</v>
      </c>
      <c r="G10">
        <v>2</v>
      </c>
      <c r="H10">
        <v>4</v>
      </c>
      <c r="I10" s="106" t="s">
        <v>911</v>
      </c>
    </row>
    <row r="11" spans="1:14" x14ac:dyDescent="0.4">
      <c r="A11">
        <v>5</v>
      </c>
      <c r="B11">
        <f ca="1">設定!$A$14</f>
        <v>110101</v>
      </c>
      <c r="C11" s="98" t="s">
        <v>586</v>
      </c>
      <c r="D11" t="s">
        <v>578</v>
      </c>
      <c r="E11" s="106" t="str">
        <f ca="1">テーブル3[[#This Row],[学校コード]]&amp;テーブル3[[#This Row],[数字]]&amp;テーブル3[[#This Row],[記号2]]</f>
        <v>110101005N</v>
      </c>
      <c r="F11">
        <v>1</v>
      </c>
      <c r="G11">
        <v>2</v>
      </c>
      <c r="H11">
        <v>5</v>
      </c>
      <c r="I11" s="106" t="s">
        <v>912</v>
      </c>
    </row>
    <row r="12" spans="1:14" x14ac:dyDescent="0.4">
      <c r="A12">
        <v>6</v>
      </c>
      <c r="B12">
        <f ca="1">設定!$A$14</f>
        <v>110101</v>
      </c>
      <c r="C12" s="98" t="s">
        <v>587</v>
      </c>
      <c r="D12" t="s">
        <v>579</v>
      </c>
      <c r="E12" s="106" t="str">
        <f ca="1">テーブル3[[#This Row],[学校コード]]&amp;テーブル3[[#This Row],[数字]]&amp;テーブル3[[#This Row],[記号2]]</f>
        <v>110101006R</v>
      </c>
      <c r="F12">
        <v>1</v>
      </c>
      <c r="G12">
        <v>2</v>
      </c>
      <c r="H12">
        <v>6</v>
      </c>
      <c r="I12" s="106" t="s">
        <v>923</v>
      </c>
    </row>
    <row r="13" spans="1:14" x14ac:dyDescent="0.4">
      <c r="A13">
        <v>7</v>
      </c>
      <c r="B13">
        <f ca="1">設定!$A$14</f>
        <v>110101</v>
      </c>
      <c r="C13" s="98" t="s">
        <v>588</v>
      </c>
      <c r="D13" t="s">
        <v>580</v>
      </c>
      <c r="E13" s="106" t="str">
        <f ca="1">テーブル3[[#This Row],[学校コード]]&amp;テーブル3[[#This Row],[数字]]&amp;テーブル3[[#This Row],[記号2]]</f>
        <v>110101007V</v>
      </c>
      <c r="F13">
        <v>1</v>
      </c>
      <c r="G13">
        <v>2</v>
      </c>
      <c r="H13">
        <v>7</v>
      </c>
      <c r="I13" s="106" t="s">
        <v>924</v>
      </c>
    </row>
    <row r="14" spans="1:14" x14ac:dyDescent="0.4">
      <c r="A14">
        <v>8</v>
      </c>
      <c r="B14">
        <f ca="1">設定!$A$14</f>
        <v>110101</v>
      </c>
      <c r="C14" s="98" t="s">
        <v>589</v>
      </c>
      <c r="D14" t="s">
        <v>581</v>
      </c>
      <c r="E14" s="106" t="str">
        <f ca="1">テーブル3[[#This Row],[学校コード]]&amp;テーブル3[[#This Row],[数字]]&amp;テーブル3[[#This Row],[記号2]]</f>
        <v>110101008X</v>
      </c>
      <c r="F14">
        <v>1</v>
      </c>
      <c r="G14">
        <v>2</v>
      </c>
      <c r="H14">
        <v>8</v>
      </c>
      <c r="I14" s="106" t="s">
        <v>925</v>
      </c>
    </row>
    <row r="15" spans="1:14" x14ac:dyDescent="0.4">
      <c r="A15">
        <v>9</v>
      </c>
      <c r="B15">
        <f ca="1">設定!$A$14</f>
        <v>110101</v>
      </c>
      <c r="C15" s="98" t="s">
        <v>591</v>
      </c>
      <c r="D15" t="s">
        <v>574</v>
      </c>
      <c r="E15" s="106" t="str">
        <f ca="1">テーブル3[[#This Row],[学校コード]]&amp;テーブル3[[#This Row],[数字]]&amp;テーブル3[[#This Row],[記号2]]</f>
        <v>110101009A</v>
      </c>
      <c r="F15">
        <v>1</v>
      </c>
      <c r="G15">
        <v>2</v>
      </c>
      <c r="H15">
        <v>9</v>
      </c>
      <c r="I15" s="106" t="s">
        <v>926</v>
      </c>
    </row>
    <row r="16" spans="1:14" x14ac:dyDescent="0.4">
      <c r="A16">
        <v>10</v>
      </c>
      <c r="B16">
        <f ca="1">設定!$A$14</f>
        <v>110101</v>
      </c>
      <c r="C16" s="98" t="s">
        <v>592</v>
      </c>
      <c r="D16" t="s">
        <v>575</v>
      </c>
      <c r="E16" s="106" t="str">
        <f ca="1">テーブル3[[#This Row],[学校コード]]&amp;テーブル3[[#This Row],[数字]]&amp;テーブル3[[#This Row],[記号2]]</f>
        <v>110101010H</v>
      </c>
      <c r="F16">
        <v>1</v>
      </c>
      <c r="G16">
        <v>2</v>
      </c>
      <c r="H16">
        <v>10</v>
      </c>
      <c r="I16" s="106" t="s">
        <v>927</v>
      </c>
    </row>
    <row r="17" spans="1:9" x14ac:dyDescent="0.4">
      <c r="A17">
        <v>11</v>
      </c>
      <c r="B17">
        <f ca="1">設定!$A$14</f>
        <v>110101</v>
      </c>
      <c r="C17" s="98" t="s">
        <v>593</v>
      </c>
      <c r="D17" t="s">
        <v>576</v>
      </c>
      <c r="E17" s="106" t="str">
        <f ca="1">テーブル3[[#This Row],[学校コード]]&amp;テーブル3[[#This Row],[数字]]&amp;テーブル3[[#This Row],[記号2]]</f>
        <v>110101011K</v>
      </c>
      <c r="F17">
        <v>1</v>
      </c>
      <c r="G17">
        <v>2</v>
      </c>
      <c r="H17">
        <v>11</v>
      </c>
      <c r="I17" s="106" t="s">
        <v>928</v>
      </c>
    </row>
    <row r="18" spans="1:9" x14ac:dyDescent="0.4">
      <c r="A18">
        <v>12</v>
      </c>
      <c r="B18">
        <f ca="1">設定!$A$14</f>
        <v>110101</v>
      </c>
      <c r="C18" s="98" t="s">
        <v>594</v>
      </c>
      <c r="D18" t="s">
        <v>577</v>
      </c>
      <c r="E18" s="106" t="str">
        <f ca="1">テーブル3[[#This Row],[学校コード]]&amp;テーブル3[[#This Row],[数字]]&amp;テーブル3[[#This Row],[記号2]]</f>
        <v>110101012M</v>
      </c>
      <c r="F18">
        <v>1</v>
      </c>
      <c r="G18">
        <v>2</v>
      </c>
      <c r="H18">
        <v>12</v>
      </c>
      <c r="I18" s="106" t="s">
        <v>929</v>
      </c>
    </row>
    <row r="19" spans="1:9" x14ac:dyDescent="0.4">
      <c r="A19">
        <v>13</v>
      </c>
      <c r="B19">
        <f ca="1">設定!$A$14</f>
        <v>110101</v>
      </c>
      <c r="C19" s="98" t="s">
        <v>595</v>
      </c>
      <c r="D19" t="s">
        <v>578</v>
      </c>
      <c r="E19" s="106" t="str">
        <f ca="1">テーブル3[[#This Row],[学校コード]]&amp;テーブル3[[#This Row],[数字]]&amp;テーブル3[[#This Row],[記号2]]</f>
        <v>110101013N</v>
      </c>
      <c r="F19">
        <v>1</v>
      </c>
      <c r="G19">
        <v>2</v>
      </c>
      <c r="H19">
        <v>13</v>
      </c>
      <c r="I19" s="106" t="s">
        <v>930</v>
      </c>
    </row>
    <row r="20" spans="1:9" x14ac:dyDescent="0.4">
      <c r="A20">
        <v>14</v>
      </c>
      <c r="B20">
        <f ca="1">設定!$A$14</f>
        <v>110101</v>
      </c>
      <c r="C20" s="98" t="s">
        <v>596</v>
      </c>
      <c r="D20" t="s">
        <v>579</v>
      </c>
      <c r="E20" s="106" t="str">
        <f ca="1">テーブル3[[#This Row],[学校コード]]&amp;テーブル3[[#This Row],[数字]]&amp;テーブル3[[#This Row],[記号2]]</f>
        <v>110101014R</v>
      </c>
      <c r="F20">
        <v>1</v>
      </c>
      <c r="G20">
        <v>2</v>
      </c>
      <c r="H20">
        <v>14</v>
      </c>
      <c r="I20" s="106" t="s">
        <v>931</v>
      </c>
    </row>
    <row r="21" spans="1:9" x14ac:dyDescent="0.4">
      <c r="A21">
        <v>15</v>
      </c>
      <c r="B21">
        <f ca="1">設定!$A$14</f>
        <v>110101</v>
      </c>
      <c r="C21" s="98" t="s">
        <v>597</v>
      </c>
      <c r="D21" t="s">
        <v>580</v>
      </c>
      <c r="E21" s="106" t="str">
        <f ca="1">テーブル3[[#This Row],[学校コード]]&amp;テーブル3[[#This Row],[数字]]&amp;テーブル3[[#This Row],[記号2]]</f>
        <v>110101015V</v>
      </c>
      <c r="F21">
        <v>1</v>
      </c>
      <c r="G21">
        <v>2</v>
      </c>
      <c r="H21">
        <v>15</v>
      </c>
      <c r="I21" s="106" t="s">
        <v>932</v>
      </c>
    </row>
    <row r="22" spans="1:9" x14ac:dyDescent="0.4">
      <c r="A22">
        <v>16</v>
      </c>
      <c r="B22">
        <f ca="1">設定!$A$14</f>
        <v>110101</v>
      </c>
      <c r="C22" s="98" t="s">
        <v>598</v>
      </c>
      <c r="D22" t="s">
        <v>581</v>
      </c>
      <c r="E22" s="106" t="str">
        <f ca="1">テーブル3[[#This Row],[学校コード]]&amp;テーブル3[[#This Row],[数字]]&amp;テーブル3[[#This Row],[記号2]]</f>
        <v>110101016X</v>
      </c>
      <c r="F22">
        <v>1</v>
      </c>
      <c r="G22">
        <v>2</v>
      </c>
      <c r="H22">
        <v>16</v>
      </c>
      <c r="I22" s="106" t="s">
        <v>933</v>
      </c>
    </row>
    <row r="23" spans="1:9" x14ac:dyDescent="0.4">
      <c r="A23">
        <v>17</v>
      </c>
      <c r="B23">
        <f ca="1">設定!$A$14</f>
        <v>110101</v>
      </c>
      <c r="C23" s="98" t="s">
        <v>599</v>
      </c>
      <c r="D23" t="s">
        <v>574</v>
      </c>
      <c r="E23" s="106" t="str">
        <f ca="1">テーブル3[[#This Row],[学校コード]]&amp;テーブル3[[#This Row],[数字]]&amp;テーブル3[[#This Row],[記号2]]</f>
        <v>110101017A</v>
      </c>
      <c r="F23">
        <v>1</v>
      </c>
      <c r="G23">
        <v>2</v>
      </c>
      <c r="H23">
        <v>17</v>
      </c>
      <c r="I23" s="106" t="s">
        <v>934</v>
      </c>
    </row>
    <row r="24" spans="1:9" x14ac:dyDescent="0.4">
      <c r="A24">
        <v>18</v>
      </c>
      <c r="B24">
        <f ca="1">設定!$A$14</f>
        <v>110101</v>
      </c>
      <c r="C24" s="98" t="s">
        <v>600</v>
      </c>
      <c r="D24" t="s">
        <v>575</v>
      </c>
      <c r="E24" s="106" t="str">
        <f ca="1">テーブル3[[#This Row],[学校コード]]&amp;テーブル3[[#This Row],[数字]]&amp;テーブル3[[#This Row],[記号2]]</f>
        <v>110101018H</v>
      </c>
      <c r="F24">
        <v>1</v>
      </c>
      <c r="G24">
        <v>2</v>
      </c>
      <c r="H24">
        <v>18</v>
      </c>
      <c r="I24" s="106" t="s">
        <v>935</v>
      </c>
    </row>
    <row r="25" spans="1:9" x14ac:dyDescent="0.4">
      <c r="A25">
        <v>19</v>
      </c>
      <c r="B25">
        <f ca="1">設定!$A$14</f>
        <v>110101</v>
      </c>
      <c r="C25" s="98" t="s">
        <v>601</v>
      </c>
      <c r="D25" t="s">
        <v>576</v>
      </c>
      <c r="E25" s="106" t="str">
        <f ca="1">テーブル3[[#This Row],[学校コード]]&amp;テーブル3[[#This Row],[数字]]&amp;テーブル3[[#This Row],[記号2]]</f>
        <v>110101019K</v>
      </c>
      <c r="F25">
        <v>1</v>
      </c>
      <c r="G25">
        <v>2</v>
      </c>
      <c r="H25">
        <v>19</v>
      </c>
      <c r="I25" s="106" t="s">
        <v>936</v>
      </c>
    </row>
    <row r="26" spans="1:9" x14ac:dyDescent="0.4">
      <c r="A26">
        <v>20</v>
      </c>
      <c r="B26">
        <f ca="1">設定!$A$14</f>
        <v>110101</v>
      </c>
      <c r="C26" s="98" t="s">
        <v>602</v>
      </c>
      <c r="D26" t="s">
        <v>577</v>
      </c>
      <c r="E26" s="106" t="str">
        <f ca="1">テーブル3[[#This Row],[学校コード]]&amp;テーブル3[[#This Row],[数字]]&amp;テーブル3[[#This Row],[記号2]]</f>
        <v>110101020M</v>
      </c>
      <c r="F26">
        <v>1</v>
      </c>
      <c r="G26">
        <v>2</v>
      </c>
      <c r="H26">
        <v>20</v>
      </c>
      <c r="I26" s="106" t="s">
        <v>937</v>
      </c>
    </row>
    <row r="27" spans="1:9" x14ac:dyDescent="0.4">
      <c r="A27">
        <v>21</v>
      </c>
      <c r="B27">
        <f ca="1">設定!$A$14</f>
        <v>110101</v>
      </c>
      <c r="C27" s="98" t="s">
        <v>603</v>
      </c>
      <c r="D27" t="s">
        <v>578</v>
      </c>
      <c r="E27" s="106" t="str">
        <f ca="1">テーブル3[[#This Row],[学校コード]]&amp;テーブル3[[#This Row],[数字]]&amp;テーブル3[[#This Row],[記号2]]</f>
        <v>110101021N</v>
      </c>
      <c r="I27" s="106"/>
    </row>
    <row r="28" spans="1:9" x14ac:dyDescent="0.4">
      <c r="A28">
        <v>22</v>
      </c>
      <c r="B28">
        <f ca="1">設定!$A$14</f>
        <v>110101</v>
      </c>
      <c r="C28" s="98" t="s">
        <v>604</v>
      </c>
      <c r="D28" t="s">
        <v>579</v>
      </c>
      <c r="E28" s="106" t="str">
        <f ca="1">テーブル3[[#This Row],[学校コード]]&amp;テーブル3[[#This Row],[数字]]&amp;テーブル3[[#This Row],[記号2]]</f>
        <v>110101022R</v>
      </c>
      <c r="I28" s="106"/>
    </row>
    <row r="29" spans="1:9" x14ac:dyDescent="0.4">
      <c r="A29">
        <v>23</v>
      </c>
      <c r="B29">
        <f ca="1">設定!$A$14</f>
        <v>110101</v>
      </c>
      <c r="C29" s="98" t="s">
        <v>605</v>
      </c>
      <c r="D29" t="s">
        <v>580</v>
      </c>
      <c r="E29" s="106" t="str">
        <f ca="1">テーブル3[[#This Row],[学校コード]]&amp;テーブル3[[#This Row],[数字]]&amp;テーブル3[[#This Row],[記号2]]</f>
        <v>110101023V</v>
      </c>
      <c r="I29" s="106"/>
    </row>
    <row r="30" spans="1:9" x14ac:dyDescent="0.4">
      <c r="A30">
        <v>24</v>
      </c>
      <c r="B30">
        <f ca="1">設定!$A$14</f>
        <v>110101</v>
      </c>
      <c r="C30" s="98" t="s">
        <v>606</v>
      </c>
      <c r="D30" t="s">
        <v>581</v>
      </c>
      <c r="E30" s="106" t="str">
        <f ca="1">テーブル3[[#This Row],[学校コード]]&amp;テーブル3[[#This Row],[数字]]&amp;テーブル3[[#This Row],[記号2]]</f>
        <v>110101024X</v>
      </c>
      <c r="I30" s="106"/>
    </row>
    <row r="31" spans="1:9" x14ac:dyDescent="0.4">
      <c r="A31">
        <v>25</v>
      </c>
      <c r="B31">
        <f ca="1">設定!$A$14</f>
        <v>110101</v>
      </c>
      <c r="C31" s="98" t="s">
        <v>607</v>
      </c>
      <c r="D31" t="s">
        <v>574</v>
      </c>
      <c r="E31" s="106" t="str">
        <f ca="1">テーブル3[[#This Row],[学校コード]]&amp;テーブル3[[#This Row],[数字]]&amp;テーブル3[[#This Row],[記号2]]</f>
        <v>110101025A</v>
      </c>
      <c r="I31" s="106"/>
    </row>
    <row r="32" spans="1:9" x14ac:dyDescent="0.4">
      <c r="A32">
        <v>26</v>
      </c>
      <c r="B32">
        <f ca="1">設定!$A$14</f>
        <v>110101</v>
      </c>
      <c r="C32" s="98" t="s">
        <v>608</v>
      </c>
      <c r="D32" t="s">
        <v>575</v>
      </c>
      <c r="E32" s="106" t="str">
        <f ca="1">テーブル3[[#This Row],[学校コード]]&amp;テーブル3[[#This Row],[数字]]&amp;テーブル3[[#This Row],[記号2]]</f>
        <v>110101026H</v>
      </c>
      <c r="I32" s="106"/>
    </row>
    <row r="33" spans="1:9" x14ac:dyDescent="0.4">
      <c r="A33">
        <v>27</v>
      </c>
      <c r="B33">
        <f ca="1">設定!$A$14</f>
        <v>110101</v>
      </c>
      <c r="C33" s="98" t="s">
        <v>609</v>
      </c>
      <c r="D33" t="s">
        <v>576</v>
      </c>
      <c r="E33" s="106" t="str">
        <f ca="1">テーブル3[[#This Row],[学校コード]]&amp;テーブル3[[#This Row],[数字]]&amp;テーブル3[[#This Row],[記号2]]</f>
        <v>110101027K</v>
      </c>
      <c r="I33" s="106"/>
    </row>
    <row r="34" spans="1:9" x14ac:dyDescent="0.4">
      <c r="A34">
        <v>28</v>
      </c>
      <c r="B34">
        <f ca="1">設定!$A$14</f>
        <v>110101</v>
      </c>
      <c r="C34" s="98" t="s">
        <v>610</v>
      </c>
      <c r="D34" t="s">
        <v>577</v>
      </c>
      <c r="E34" s="106" t="str">
        <f ca="1">テーブル3[[#This Row],[学校コード]]&amp;テーブル3[[#This Row],[数字]]&amp;テーブル3[[#This Row],[記号2]]</f>
        <v>110101028M</v>
      </c>
      <c r="I34" s="106"/>
    </row>
    <row r="35" spans="1:9" x14ac:dyDescent="0.4">
      <c r="A35">
        <v>29</v>
      </c>
      <c r="B35">
        <f ca="1">設定!$A$14</f>
        <v>110101</v>
      </c>
      <c r="C35" s="98" t="s">
        <v>611</v>
      </c>
      <c r="D35" t="s">
        <v>578</v>
      </c>
      <c r="E35" s="106" t="str">
        <f ca="1">テーブル3[[#This Row],[学校コード]]&amp;テーブル3[[#This Row],[数字]]&amp;テーブル3[[#This Row],[記号2]]</f>
        <v>110101029N</v>
      </c>
      <c r="I35" s="106"/>
    </row>
    <row r="36" spans="1:9" x14ac:dyDescent="0.4">
      <c r="A36">
        <v>30</v>
      </c>
      <c r="B36">
        <f ca="1">設定!$A$14</f>
        <v>110101</v>
      </c>
      <c r="C36" s="98" t="s">
        <v>612</v>
      </c>
      <c r="D36" t="s">
        <v>579</v>
      </c>
      <c r="E36" s="106" t="str">
        <f ca="1">テーブル3[[#This Row],[学校コード]]&amp;テーブル3[[#This Row],[数字]]&amp;テーブル3[[#This Row],[記号2]]</f>
        <v>110101030R</v>
      </c>
      <c r="I36" s="106"/>
    </row>
    <row r="37" spans="1:9" x14ac:dyDescent="0.4">
      <c r="A37">
        <v>31</v>
      </c>
      <c r="B37">
        <f ca="1">設定!$A$14</f>
        <v>110101</v>
      </c>
      <c r="C37" s="98" t="s">
        <v>613</v>
      </c>
      <c r="D37" t="s">
        <v>580</v>
      </c>
      <c r="E37" s="106" t="str">
        <f ca="1">テーブル3[[#This Row],[学校コード]]&amp;テーブル3[[#This Row],[数字]]&amp;テーブル3[[#This Row],[記号2]]</f>
        <v>110101031V</v>
      </c>
      <c r="I37" s="106"/>
    </row>
    <row r="38" spans="1:9" x14ac:dyDescent="0.4">
      <c r="A38">
        <v>32</v>
      </c>
      <c r="B38">
        <f ca="1">設定!$A$14</f>
        <v>110101</v>
      </c>
      <c r="C38" s="98" t="s">
        <v>614</v>
      </c>
      <c r="D38" t="s">
        <v>581</v>
      </c>
      <c r="E38" s="106" t="str">
        <f ca="1">テーブル3[[#This Row],[学校コード]]&amp;テーブル3[[#This Row],[数字]]&amp;テーブル3[[#This Row],[記号2]]</f>
        <v>110101032X</v>
      </c>
      <c r="I38" s="106"/>
    </row>
    <row r="39" spans="1:9" x14ac:dyDescent="0.4">
      <c r="A39">
        <v>33</v>
      </c>
      <c r="B39">
        <f ca="1">設定!$A$14</f>
        <v>110101</v>
      </c>
      <c r="C39" s="98" t="s">
        <v>615</v>
      </c>
      <c r="D39" t="s">
        <v>574</v>
      </c>
      <c r="E39" s="106" t="str">
        <f ca="1">テーブル3[[#This Row],[学校コード]]&amp;テーブル3[[#This Row],[数字]]&amp;テーブル3[[#This Row],[記号2]]</f>
        <v>110101033A</v>
      </c>
      <c r="I39" s="106"/>
    </row>
    <row r="40" spans="1:9" x14ac:dyDescent="0.4">
      <c r="A40">
        <v>34</v>
      </c>
      <c r="B40">
        <f ca="1">設定!$A$14</f>
        <v>110101</v>
      </c>
      <c r="C40" s="98" t="s">
        <v>616</v>
      </c>
      <c r="D40" t="s">
        <v>575</v>
      </c>
      <c r="E40" s="106" t="str">
        <f ca="1">テーブル3[[#This Row],[学校コード]]&amp;テーブル3[[#This Row],[数字]]&amp;テーブル3[[#This Row],[記号2]]</f>
        <v>110101034H</v>
      </c>
      <c r="I40" s="106"/>
    </row>
    <row r="41" spans="1:9" x14ac:dyDescent="0.4">
      <c r="A41">
        <v>35</v>
      </c>
      <c r="B41">
        <f ca="1">設定!$A$14</f>
        <v>110101</v>
      </c>
      <c r="C41" s="98" t="s">
        <v>617</v>
      </c>
      <c r="D41" t="s">
        <v>576</v>
      </c>
      <c r="E41" s="106" t="str">
        <f ca="1">テーブル3[[#This Row],[学校コード]]&amp;テーブル3[[#This Row],[数字]]&amp;テーブル3[[#This Row],[記号2]]</f>
        <v>110101035K</v>
      </c>
      <c r="I41" s="106"/>
    </row>
    <row r="42" spans="1:9" x14ac:dyDescent="0.4">
      <c r="A42">
        <v>36</v>
      </c>
      <c r="B42">
        <f ca="1">設定!$A$14</f>
        <v>110101</v>
      </c>
      <c r="C42" s="98" t="s">
        <v>618</v>
      </c>
      <c r="D42" t="s">
        <v>577</v>
      </c>
      <c r="E42" s="106" t="str">
        <f ca="1">テーブル3[[#This Row],[学校コード]]&amp;テーブル3[[#This Row],[数字]]&amp;テーブル3[[#This Row],[記号2]]</f>
        <v>110101036M</v>
      </c>
      <c r="I42" s="106"/>
    </row>
    <row r="43" spans="1:9" x14ac:dyDescent="0.4">
      <c r="A43">
        <v>37</v>
      </c>
      <c r="B43">
        <f ca="1">設定!$A$14</f>
        <v>110101</v>
      </c>
      <c r="C43" s="98" t="s">
        <v>619</v>
      </c>
      <c r="D43" t="s">
        <v>578</v>
      </c>
      <c r="E43" s="106" t="str">
        <f ca="1">テーブル3[[#This Row],[学校コード]]&amp;テーブル3[[#This Row],[数字]]&amp;テーブル3[[#This Row],[記号2]]</f>
        <v>110101037N</v>
      </c>
      <c r="I43" s="106"/>
    </row>
    <row r="44" spans="1:9" x14ac:dyDescent="0.4">
      <c r="A44">
        <v>38</v>
      </c>
      <c r="B44">
        <f ca="1">設定!$A$14</f>
        <v>110101</v>
      </c>
      <c r="C44" s="98" t="s">
        <v>620</v>
      </c>
      <c r="D44" t="s">
        <v>579</v>
      </c>
      <c r="E44" s="106" t="str">
        <f ca="1">テーブル3[[#This Row],[学校コード]]&amp;テーブル3[[#This Row],[数字]]&amp;テーブル3[[#This Row],[記号2]]</f>
        <v>110101038R</v>
      </c>
      <c r="I44" s="106"/>
    </row>
    <row r="45" spans="1:9" x14ac:dyDescent="0.4">
      <c r="A45">
        <v>39</v>
      </c>
      <c r="B45">
        <f ca="1">設定!$A$14</f>
        <v>110101</v>
      </c>
      <c r="C45" s="98" t="s">
        <v>621</v>
      </c>
      <c r="D45" t="s">
        <v>580</v>
      </c>
      <c r="E45" s="106" t="str">
        <f ca="1">テーブル3[[#This Row],[学校コード]]&amp;テーブル3[[#This Row],[数字]]&amp;テーブル3[[#This Row],[記号2]]</f>
        <v>110101039V</v>
      </c>
      <c r="I45" s="106"/>
    </row>
    <row r="46" spans="1:9" x14ac:dyDescent="0.4">
      <c r="A46">
        <v>40</v>
      </c>
      <c r="B46">
        <f ca="1">設定!$A$14</f>
        <v>110101</v>
      </c>
      <c r="C46" s="98" t="s">
        <v>622</v>
      </c>
      <c r="D46" t="s">
        <v>581</v>
      </c>
      <c r="E46" s="106" t="str">
        <f ca="1">テーブル3[[#This Row],[学校コード]]&amp;テーブル3[[#This Row],[数字]]&amp;テーブル3[[#This Row],[記号2]]</f>
        <v>110101040X</v>
      </c>
      <c r="I46" s="106"/>
    </row>
    <row r="47" spans="1:9" x14ac:dyDescent="0.4">
      <c r="A47">
        <v>41</v>
      </c>
      <c r="B47">
        <f ca="1">設定!$A$14</f>
        <v>110101</v>
      </c>
      <c r="C47" s="98" t="s">
        <v>623</v>
      </c>
      <c r="D47" t="s">
        <v>574</v>
      </c>
      <c r="E47" s="106" t="str">
        <f ca="1">テーブル3[[#This Row],[学校コード]]&amp;テーブル3[[#This Row],[数字]]&amp;テーブル3[[#This Row],[記号2]]</f>
        <v>110101041A</v>
      </c>
      <c r="I47" s="106"/>
    </row>
    <row r="48" spans="1:9" x14ac:dyDescent="0.4">
      <c r="A48">
        <v>42</v>
      </c>
      <c r="B48">
        <f ca="1">設定!$A$14</f>
        <v>110101</v>
      </c>
      <c r="C48" s="98" t="s">
        <v>624</v>
      </c>
      <c r="D48" t="s">
        <v>575</v>
      </c>
      <c r="E48" s="106" t="str">
        <f ca="1">テーブル3[[#This Row],[学校コード]]&amp;テーブル3[[#This Row],[数字]]&amp;テーブル3[[#This Row],[記号2]]</f>
        <v>110101042H</v>
      </c>
      <c r="I48" s="106"/>
    </row>
    <row r="49" spans="1:9" x14ac:dyDescent="0.4">
      <c r="A49">
        <v>43</v>
      </c>
      <c r="B49">
        <f ca="1">設定!$A$14</f>
        <v>110101</v>
      </c>
      <c r="C49" s="98" t="s">
        <v>625</v>
      </c>
      <c r="D49" t="s">
        <v>576</v>
      </c>
      <c r="E49" s="106" t="str">
        <f ca="1">テーブル3[[#This Row],[学校コード]]&amp;テーブル3[[#This Row],[数字]]&amp;テーブル3[[#This Row],[記号2]]</f>
        <v>110101043K</v>
      </c>
      <c r="I49" s="106"/>
    </row>
    <row r="50" spans="1:9" x14ac:dyDescent="0.4">
      <c r="A50">
        <v>44</v>
      </c>
      <c r="B50">
        <f ca="1">設定!$A$14</f>
        <v>110101</v>
      </c>
      <c r="C50" s="98" t="s">
        <v>626</v>
      </c>
      <c r="D50" t="s">
        <v>577</v>
      </c>
      <c r="E50" s="106" t="str">
        <f ca="1">テーブル3[[#This Row],[学校コード]]&amp;テーブル3[[#This Row],[数字]]&amp;テーブル3[[#This Row],[記号2]]</f>
        <v>110101044M</v>
      </c>
      <c r="I50" s="106"/>
    </row>
    <row r="51" spans="1:9" x14ac:dyDescent="0.4">
      <c r="A51">
        <v>45</v>
      </c>
      <c r="B51">
        <f ca="1">設定!$A$14</f>
        <v>110101</v>
      </c>
      <c r="C51" s="98" t="s">
        <v>627</v>
      </c>
      <c r="D51" t="s">
        <v>578</v>
      </c>
      <c r="E51" s="106" t="str">
        <f ca="1">テーブル3[[#This Row],[学校コード]]&amp;テーブル3[[#This Row],[数字]]&amp;テーブル3[[#This Row],[記号2]]</f>
        <v>110101045N</v>
      </c>
      <c r="I51" s="106"/>
    </row>
    <row r="52" spans="1:9" x14ac:dyDescent="0.4">
      <c r="A52">
        <v>46</v>
      </c>
      <c r="B52">
        <f ca="1">設定!$A$14</f>
        <v>110101</v>
      </c>
      <c r="C52" s="98" t="s">
        <v>628</v>
      </c>
      <c r="D52" t="s">
        <v>579</v>
      </c>
      <c r="E52" s="106" t="str">
        <f ca="1">テーブル3[[#This Row],[学校コード]]&amp;テーブル3[[#This Row],[数字]]&amp;テーブル3[[#This Row],[記号2]]</f>
        <v>110101046R</v>
      </c>
      <c r="I52" s="106"/>
    </row>
    <row r="53" spans="1:9" x14ac:dyDescent="0.4">
      <c r="A53">
        <v>47</v>
      </c>
      <c r="B53">
        <f ca="1">設定!$A$14</f>
        <v>110101</v>
      </c>
      <c r="C53" s="98" t="s">
        <v>629</v>
      </c>
      <c r="D53" t="s">
        <v>580</v>
      </c>
      <c r="E53" s="106" t="str">
        <f ca="1">テーブル3[[#This Row],[学校コード]]&amp;テーブル3[[#This Row],[数字]]&amp;テーブル3[[#This Row],[記号2]]</f>
        <v>110101047V</v>
      </c>
      <c r="I53" s="106"/>
    </row>
    <row r="54" spans="1:9" x14ac:dyDescent="0.4">
      <c r="A54">
        <v>48</v>
      </c>
      <c r="B54">
        <f ca="1">設定!$A$14</f>
        <v>110101</v>
      </c>
      <c r="C54" s="98" t="s">
        <v>630</v>
      </c>
      <c r="D54" t="s">
        <v>581</v>
      </c>
      <c r="E54" s="106" t="str">
        <f ca="1">テーブル3[[#This Row],[学校コード]]&amp;テーブル3[[#This Row],[数字]]&amp;テーブル3[[#This Row],[記号2]]</f>
        <v>110101048X</v>
      </c>
      <c r="I54" s="106"/>
    </row>
    <row r="55" spans="1:9" x14ac:dyDescent="0.4">
      <c r="A55">
        <v>49</v>
      </c>
      <c r="B55">
        <f ca="1">設定!$A$14</f>
        <v>110101</v>
      </c>
      <c r="C55" s="98" t="s">
        <v>631</v>
      </c>
      <c r="D55" t="s">
        <v>574</v>
      </c>
      <c r="E55" s="106" t="str">
        <f ca="1">テーブル3[[#This Row],[学校コード]]&amp;テーブル3[[#This Row],[数字]]&amp;テーブル3[[#This Row],[記号2]]</f>
        <v>110101049A</v>
      </c>
      <c r="I55" s="106"/>
    </row>
    <row r="56" spans="1:9" x14ac:dyDescent="0.4">
      <c r="A56">
        <v>50</v>
      </c>
      <c r="B56">
        <f ca="1">設定!$A$14</f>
        <v>110101</v>
      </c>
      <c r="C56" s="98" t="s">
        <v>632</v>
      </c>
      <c r="D56" t="s">
        <v>575</v>
      </c>
      <c r="E56" s="106" t="str">
        <f ca="1">テーブル3[[#This Row],[学校コード]]&amp;テーブル3[[#This Row],[数字]]&amp;テーブル3[[#This Row],[記号2]]</f>
        <v>110101050H</v>
      </c>
      <c r="I56" s="106"/>
    </row>
    <row r="57" spans="1:9" x14ac:dyDescent="0.4">
      <c r="A57">
        <v>51</v>
      </c>
      <c r="B57">
        <f ca="1">設定!$A$14</f>
        <v>110101</v>
      </c>
      <c r="C57" s="98" t="s">
        <v>633</v>
      </c>
      <c r="D57" t="s">
        <v>576</v>
      </c>
      <c r="E57" s="106" t="str">
        <f ca="1">テーブル3[[#This Row],[学校コード]]&amp;テーブル3[[#This Row],[数字]]&amp;テーブル3[[#This Row],[記号2]]</f>
        <v>110101051K</v>
      </c>
      <c r="I57" s="106"/>
    </row>
    <row r="58" spans="1:9" x14ac:dyDescent="0.4">
      <c r="A58">
        <v>52</v>
      </c>
      <c r="B58">
        <f ca="1">設定!$A$14</f>
        <v>110101</v>
      </c>
      <c r="C58" s="98" t="s">
        <v>634</v>
      </c>
      <c r="D58" t="s">
        <v>577</v>
      </c>
      <c r="E58" s="106" t="str">
        <f ca="1">テーブル3[[#This Row],[学校コード]]&amp;テーブル3[[#This Row],[数字]]&amp;テーブル3[[#This Row],[記号2]]</f>
        <v>110101052M</v>
      </c>
      <c r="I58" s="106"/>
    </row>
    <row r="59" spans="1:9" x14ac:dyDescent="0.4">
      <c r="A59">
        <v>53</v>
      </c>
      <c r="B59">
        <f ca="1">設定!$A$14</f>
        <v>110101</v>
      </c>
      <c r="C59" s="98" t="s">
        <v>635</v>
      </c>
      <c r="D59" t="s">
        <v>578</v>
      </c>
      <c r="E59" s="106" t="str">
        <f ca="1">テーブル3[[#This Row],[学校コード]]&amp;テーブル3[[#This Row],[数字]]&amp;テーブル3[[#This Row],[記号2]]</f>
        <v>110101053N</v>
      </c>
      <c r="I59" s="106"/>
    </row>
    <row r="60" spans="1:9" x14ac:dyDescent="0.4">
      <c r="A60">
        <v>54</v>
      </c>
      <c r="B60">
        <f ca="1">設定!$A$14</f>
        <v>110101</v>
      </c>
      <c r="C60" s="98" t="s">
        <v>636</v>
      </c>
      <c r="D60" t="s">
        <v>579</v>
      </c>
      <c r="E60" s="106" t="str">
        <f ca="1">テーブル3[[#This Row],[学校コード]]&amp;テーブル3[[#This Row],[数字]]&amp;テーブル3[[#This Row],[記号2]]</f>
        <v>110101054R</v>
      </c>
      <c r="I60" s="106"/>
    </row>
    <row r="61" spans="1:9" x14ac:dyDescent="0.4">
      <c r="A61">
        <v>55</v>
      </c>
      <c r="B61">
        <f ca="1">設定!$A$14</f>
        <v>110101</v>
      </c>
      <c r="C61" s="98" t="s">
        <v>637</v>
      </c>
      <c r="D61" t="s">
        <v>580</v>
      </c>
      <c r="E61" s="106" t="str">
        <f ca="1">テーブル3[[#This Row],[学校コード]]&amp;テーブル3[[#This Row],[数字]]&amp;テーブル3[[#This Row],[記号2]]</f>
        <v>110101055V</v>
      </c>
      <c r="I61" s="106"/>
    </row>
    <row r="62" spans="1:9" x14ac:dyDescent="0.4">
      <c r="A62">
        <v>56</v>
      </c>
      <c r="B62">
        <f ca="1">設定!$A$14</f>
        <v>110101</v>
      </c>
      <c r="C62" s="98" t="s">
        <v>638</v>
      </c>
      <c r="D62" t="s">
        <v>581</v>
      </c>
      <c r="E62" s="106" t="str">
        <f ca="1">テーブル3[[#This Row],[学校コード]]&amp;テーブル3[[#This Row],[数字]]&amp;テーブル3[[#This Row],[記号2]]</f>
        <v>110101056X</v>
      </c>
      <c r="I62" s="106"/>
    </row>
    <row r="63" spans="1:9" x14ac:dyDescent="0.4">
      <c r="A63">
        <v>57</v>
      </c>
      <c r="B63">
        <f ca="1">設定!$A$14</f>
        <v>110101</v>
      </c>
      <c r="C63" s="98" t="s">
        <v>639</v>
      </c>
      <c r="D63" t="s">
        <v>574</v>
      </c>
      <c r="E63" s="106" t="str">
        <f ca="1">テーブル3[[#This Row],[学校コード]]&amp;テーブル3[[#This Row],[数字]]&amp;テーブル3[[#This Row],[記号2]]</f>
        <v>110101057A</v>
      </c>
      <c r="I63" s="106"/>
    </row>
    <row r="64" spans="1:9" x14ac:dyDescent="0.4">
      <c r="A64">
        <v>58</v>
      </c>
      <c r="B64">
        <f ca="1">設定!$A$14</f>
        <v>110101</v>
      </c>
      <c r="C64" s="98" t="s">
        <v>640</v>
      </c>
      <c r="D64" t="s">
        <v>575</v>
      </c>
      <c r="E64" s="106" t="str">
        <f ca="1">テーブル3[[#This Row],[学校コード]]&amp;テーブル3[[#This Row],[数字]]&amp;テーブル3[[#This Row],[記号2]]</f>
        <v>110101058H</v>
      </c>
      <c r="I64" s="106"/>
    </row>
    <row r="65" spans="1:9" x14ac:dyDescent="0.4">
      <c r="A65">
        <v>59</v>
      </c>
      <c r="B65">
        <f ca="1">設定!$A$14</f>
        <v>110101</v>
      </c>
      <c r="C65" s="98" t="s">
        <v>641</v>
      </c>
      <c r="D65" t="s">
        <v>576</v>
      </c>
      <c r="E65" s="106" t="str">
        <f ca="1">テーブル3[[#This Row],[学校コード]]&amp;テーブル3[[#This Row],[数字]]&amp;テーブル3[[#This Row],[記号2]]</f>
        <v>110101059K</v>
      </c>
      <c r="I65" s="106"/>
    </row>
    <row r="66" spans="1:9" x14ac:dyDescent="0.4">
      <c r="A66">
        <v>60</v>
      </c>
      <c r="B66">
        <f ca="1">設定!$A$14</f>
        <v>110101</v>
      </c>
      <c r="C66" s="98" t="s">
        <v>642</v>
      </c>
      <c r="D66" t="s">
        <v>577</v>
      </c>
      <c r="E66" s="106" t="str">
        <f ca="1">テーブル3[[#This Row],[学校コード]]&amp;テーブル3[[#This Row],[数字]]&amp;テーブル3[[#This Row],[記号2]]</f>
        <v>110101060M</v>
      </c>
      <c r="I66" s="106"/>
    </row>
    <row r="67" spans="1:9" x14ac:dyDescent="0.4">
      <c r="A67">
        <v>61</v>
      </c>
      <c r="B67">
        <f ca="1">設定!$A$14</f>
        <v>110101</v>
      </c>
      <c r="C67" s="98" t="s">
        <v>643</v>
      </c>
      <c r="D67" t="s">
        <v>578</v>
      </c>
      <c r="E67" s="106" t="str">
        <f ca="1">テーブル3[[#This Row],[学校コード]]&amp;テーブル3[[#This Row],[数字]]&amp;テーブル3[[#This Row],[記号2]]</f>
        <v>110101061N</v>
      </c>
      <c r="I67" s="106"/>
    </row>
    <row r="68" spans="1:9" x14ac:dyDescent="0.4">
      <c r="A68">
        <v>62</v>
      </c>
      <c r="B68">
        <f ca="1">設定!$A$14</f>
        <v>110101</v>
      </c>
      <c r="C68" s="98" t="s">
        <v>644</v>
      </c>
      <c r="D68" t="s">
        <v>579</v>
      </c>
      <c r="E68" s="106" t="str">
        <f ca="1">テーブル3[[#This Row],[学校コード]]&amp;テーブル3[[#This Row],[数字]]&amp;テーブル3[[#This Row],[記号2]]</f>
        <v>110101062R</v>
      </c>
      <c r="I68" s="106"/>
    </row>
    <row r="69" spans="1:9" x14ac:dyDescent="0.4">
      <c r="A69">
        <v>63</v>
      </c>
      <c r="B69">
        <f ca="1">設定!$A$14</f>
        <v>110101</v>
      </c>
      <c r="C69" s="98" t="s">
        <v>645</v>
      </c>
      <c r="D69" t="s">
        <v>580</v>
      </c>
      <c r="E69" s="106" t="str">
        <f ca="1">テーブル3[[#This Row],[学校コード]]&amp;テーブル3[[#This Row],[数字]]&amp;テーブル3[[#This Row],[記号2]]</f>
        <v>110101063V</v>
      </c>
      <c r="I69" s="106"/>
    </row>
    <row r="70" spans="1:9" x14ac:dyDescent="0.4">
      <c r="A70">
        <v>64</v>
      </c>
      <c r="B70">
        <f ca="1">設定!$A$14</f>
        <v>110101</v>
      </c>
      <c r="C70" s="98" t="s">
        <v>646</v>
      </c>
      <c r="D70" t="s">
        <v>581</v>
      </c>
      <c r="E70" s="106" t="str">
        <f ca="1">テーブル3[[#This Row],[学校コード]]&amp;テーブル3[[#This Row],[数字]]&amp;テーブル3[[#This Row],[記号2]]</f>
        <v>110101064X</v>
      </c>
      <c r="I70" s="106"/>
    </row>
    <row r="71" spans="1:9" x14ac:dyDescent="0.4">
      <c r="A71">
        <v>65</v>
      </c>
      <c r="B71">
        <f ca="1">設定!$A$14</f>
        <v>110101</v>
      </c>
      <c r="C71" s="98" t="s">
        <v>647</v>
      </c>
      <c r="D71" t="s">
        <v>574</v>
      </c>
      <c r="E71" s="106" t="str">
        <f ca="1">テーブル3[[#This Row],[学校コード]]&amp;テーブル3[[#This Row],[数字]]&amp;テーブル3[[#This Row],[記号2]]</f>
        <v>110101065A</v>
      </c>
      <c r="I71" s="106"/>
    </row>
    <row r="72" spans="1:9" x14ac:dyDescent="0.4">
      <c r="A72">
        <v>66</v>
      </c>
      <c r="B72">
        <f ca="1">設定!$A$14</f>
        <v>110101</v>
      </c>
      <c r="C72" s="98" t="s">
        <v>648</v>
      </c>
      <c r="D72" t="s">
        <v>575</v>
      </c>
      <c r="E72" s="106" t="str">
        <f ca="1">テーブル3[[#This Row],[学校コード]]&amp;テーブル3[[#This Row],[数字]]&amp;テーブル3[[#This Row],[記号2]]</f>
        <v>110101066H</v>
      </c>
      <c r="I72" s="106"/>
    </row>
    <row r="73" spans="1:9" x14ac:dyDescent="0.4">
      <c r="A73">
        <v>67</v>
      </c>
      <c r="B73">
        <f ca="1">設定!$A$14</f>
        <v>110101</v>
      </c>
      <c r="C73" s="98" t="s">
        <v>649</v>
      </c>
      <c r="D73" t="s">
        <v>576</v>
      </c>
      <c r="E73" s="106" t="str">
        <f ca="1">テーブル3[[#This Row],[学校コード]]&amp;テーブル3[[#This Row],[数字]]&amp;テーブル3[[#This Row],[記号2]]</f>
        <v>110101067K</v>
      </c>
      <c r="I73" s="106"/>
    </row>
    <row r="74" spans="1:9" x14ac:dyDescent="0.4">
      <c r="A74">
        <v>68</v>
      </c>
      <c r="B74">
        <f ca="1">設定!$A$14</f>
        <v>110101</v>
      </c>
      <c r="C74" s="98" t="s">
        <v>650</v>
      </c>
      <c r="D74" t="s">
        <v>577</v>
      </c>
      <c r="E74" s="106" t="str">
        <f ca="1">テーブル3[[#This Row],[学校コード]]&amp;テーブル3[[#This Row],[数字]]&amp;テーブル3[[#This Row],[記号2]]</f>
        <v>110101068M</v>
      </c>
      <c r="I74" s="106"/>
    </row>
    <row r="75" spans="1:9" x14ac:dyDescent="0.4">
      <c r="A75">
        <v>69</v>
      </c>
      <c r="B75">
        <f ca="1">設定!$A$14</f>
        <v>110101</v>
      </c>
      <c r="C75" s="98" t="s">
        <v>651</v>
      </c>
      <c r="D75" t="s">
        <v>578</v>
      </c>
      <c r="E75" s="106" t="str">
        <f ca="1">テーブル3[[#This Row],[学校コード]]&amp;テーブル3[[#This Row],[数字]]&amp;テーブル3[[#This Row],[記号2]]</f>
        <v>110101069N</v>
      </c>
      <c r="I75" s="106"/>
    </row>
    <row r="76" spans="1:9" x14ac:dyDescent="0.4">
      <c r="A76">
        <v>70</v>
      </c>
      <c r="B76">
        <f ca="1">設定!$A$14</f>
        <v>110101</v>
      </c>
      <c r="C76" s="98" t="s">
        <v>652</v>
      </c>
      <c r="D76" t="s">
        <v>579</v>
      </c>
      <c r="E76" s="106" t="str">
        <f ca="1">テーブル3[[#This Row],[学校コード]]&amp;テーブル3[[#This Row],[数字]]&amp;テーブル3[[#This Row],[記号2]]</f>
        <v>110101070R</v>
      </c>
      <c r="I76" s="106"/>
    </row>
    <row r="77" spans="1:9" x14ac:dyDescent="0.4">
      <c r="A77">
        <v>71</v>
      </c>
      <c r="B77">
        <f ca="1">設定!$A$14</f>
        <v>110101</v>
      </c>
      <c r="C77" s="98" t="s">
        <v>653</v>
      </c>
      <c r="D77" t="s">
        <v>580</v>
      </c>
      <c r="E77" s="106" t="str">
        <f ca="1">テーブル3[[#This Row],[学校コード]]&amp;テーブル3[[#This Row],[数字]]&amp;テーブル3[[#This Row],[記号2]]</f>
        <v>110101071V</v>
      </c>
      <c r="I77" s="106"/>
    </row>
    <row r="78" spans="1:9" x14ac:dyDescent="0.4">
      <c r="A78">
        <v>72</v>
      </c>
      <c r="B78">
        <f ca="1">設定!$A$14</f>
        <v>110101</v>
      </c>
      <c r="C78" s="98" t="s">
        <v>654</v>
      </c>
      <c r="D78" t="s">
        <v>581</v>
      </c>
      <c r="E78" s="106" t="str">
        <f ca="1">テーブル3[[#This Row],[学校コード]]&amp;テーブル3[[#This Row],[数字]]&amp;テーブル3[[#This Row],[記号2]]</f>
        <v>110101072X</v>
      </c>
      <c r="I78" s="106"/>
    </row>
    <row r="79" spans="1:9" x14ac:dyDescent="0.4">
      <c r="A79">
        <v>73</v>
      </c>
      <c r="B79">
        <f ca="1">設定!$A$14</f>
        <v>110101</v>
      </c>
      <c r="C79" s="98" t="s">
        <v>655</v>
      </c>
      <c r="D79" t="s">
        <v>574</v>
      </c>
      <c r="E79" s="106" t="str">
        <f ca="1">テーブル3[[#This Row],[学校コード]]&amp;テーブル3[[#This Row],[数字]]&amp;テーブル3[[#This Row],[記号2]]</f>
        <v>110101073A</v>
      </c>
      <c r="I79" s="106"/>
    </row>
    <row r="80" spans="1:9" x14ac:dyDescent="0.4">
      <c r="A80">
        <v>74</v>
      </c>
      <c r="B80">
        <f ca="1">設定!$A$14</f>
        <v>110101</v>
      </c>
      <c r="C80" s="98" t="s">
        <v>656</v>
      </c>
      <c r="D80" t="s">
        <v>575</v>
      </c>
      <c r="E80" s="106" t="str">
        <f ca="1">テーブル3[[#This Row],[学校コード]]&amp;テーブル3[[#This Row],[数字]]&amp;テーブル3[[#This Row],[記号2]]</f>
        <v>110101074H</v>
      </c>
      <c r="I80" s="106"/>
    </row>
    <row r="81" spans="1:9" x14ac:dyDescent="0.4">
      <c r="A81">
        <v>75</v>
      </c>
      <c r="B81">
        <f ca="1">設定!$A$14</f>
        <v>110101</v>
      </c>
      <c r="C81" s="98" t="s">
        <v>657</v>
      </c>
      <c r="D81" t="s">
        <v>576</v>
      </c>
      <c r="E81" s="106" t="str">
        <f ca="1">テーブル3[[#This Row],[学校コード]]&amp;テーブル3[[#This Row],[数字]]&amp;テーブル3[[#This Row],[記号2]]</f>
        <v>110101075K</v>
      </c>
      <c r="I81" s="106"/>
    </row>
    <row r="82" spans="1:9" x14ac:dyDescent="0.4">
      <c r="A82">
        <v>76</v>
      </c>
      <c r="B82">
        <f ca="1">設定!$A$14</f>
        <v>110101</v>
      </c>
      <c r="C82" s="98" t="s">
        <v>658</v>
      </c>
      <c r="D82" t="s">
        <v>577</v>
      </c>
      <c r="E82" s="106" t="str">
        <f ca="1">テーブル3[[#This Row],[学校コード]]&amp;テーブル3[[#This Row],[数字]]&amp;テーブル3[[#This Row],[記号2]]</f>
        <v>110101076M</v>
      </c>
      <c r="I82" s="106"/>
    </row>
    <row r="83" spans="1:9" x14ac:dyDescent="0.4">
      <c r="A83">
        <v>77</v>
      </c>
      <c r="B83">
        <f ca="1">設定!$A$14</f>
        <v>110101</v>
      </c>
      <c r="C83" s="98" t="s">
        <v>659</v>
      </c>
      <c r="D83" t="s">
        <v>578</v>
      </c>
      <c r="E83" s="106" t="str">
        <f ca="1">テーブル3[[#This Row],[学校コード]]&amp;テーブル3[[#This Row],[数字]]&amp;テーブル3[[#This Row],[記号2]]</f>
        <v>110101077N</v>
      </c>
      <c r="I83" s="106"/>
    </row>
    <row r="84" spans="1:9" x14ac:dyDescent="0.4">
      <c r="A84">
        <v>78</v>
      </c>
      <c r="B84">
        <f ca="1">設定!$A$14</f>
        <v>110101</v>
      </c>
      <c r="C84" s="98" t="s">
        <v>660</v>
      </c>
      <c r="D84" t="s">
        <v>579</v>
      </c>
      <c r="E84" s="106" t="str">
        <f ca="1">テーブル3[[#This Row],[学校コード]]&amp;テーブル3[[#This Row],[数字]]&amp;テーブル3[[#This Row],[記号2]]</f>
        <v>110101078R</v>
      </c>
      <c r="I84" s="106"/>
    </row>
    <row r="85" spans="1:9" x14ac:dyDescent="0.4">
      <c r="A85">
        <v>79</v>
      </c>
      <c r="B85">
        <f ca="1">設定!$A$14</f>
        <v>110101</v>
      </c>
      <c r="C85" s="98" t="s">
        <v>661</v>
      </c>
      <c r="D85" t="s">
        <v>580</v>
      </c>
      <c r="E85" s="106" t="str">
        <f ca="1">テーブル3[[#This Row],[学校コード]]&amp;テーブル3[[#This Row],[数字]]&amp;テーブル3[[#This Row],[記号2]]</f>
        <v>110101079V</v>
      </c>
      <c r="I85" s="106"/>
    </row>
    <row r="86" spans="1:9" x14ac:dyDescent="0.4">
      <c r="A86">
        <v>80</v>
      </c>
      <c r="B86">
        <f ca="1">設定!$A$14</f>
        <v>110101</v>
      </c>
      <c r="C86" s="98" t="s">
        <v>662</v>
      </c>
      <c r="D86" t="s">
        <v>581</v>
      </c>
      <c r="E86" s="106" t="str">
        <f ca="1">テーブル3[[#This Row],[学校コード]]&amp;テーブル3[[#This Row],[数字]]&amp;テーブル3[[#This Row],[記号2]]</f>
        <v>110101080X</v>
      </c>
      <c r="I86" s="106"/>
    </row>
    <row r="87" spans="1:9" x14ac:dyDescent="0.4">
      <c r="A87">
        <v>81</v>
      </c>
      <c r="B87">
        <f ca="1">設定!$A$14</f>
        <v>110101</v>
      </c>
      <c r="C87" s="98" t="s">
        <v>663</v>
      </c>
      <c r="D87" t="s">
        <v>574</v>
      </c>
      <c r="E87" s="106" t="str">
        <f ca="1">テーブル3[[#This Row],[学校コード]]&amp;テーブル3[[#This Row],[数字]]&amp;テーブル3[[#This Row],[記号2]]</f>
        <v>110101081A</v>
      </c>
      <c r="I87" s="106"/>
    </row>
    <row r="88" spans="1:9" x14ac:dyDescent="0.4">
      <c r="A88">
        <v>82</v>
      </c>
      <c r="B88">
        <f ca="1">設定!$A$14</f>
        <v>110101</v>
      </c>
      <c r="C88" s="98" t="s">
        <v>664</v>
      </c>
      <c r="D88" t="s">
        <v>575</v>
      </c>
      <c r="E88" s="106" t="str">
        <f ca="1">テーブル3[[#This Row],[学校コード]]&amp;テーブル3[[#This Row],[数字]]&amp;テーブル3[[#This Row],[記号2]]</f>
        <v>110101082H</v>
      </c>
      <c r="I88" s="106"/>
    </row>
    <row r="89" spans="1:9" x14ac:dyDescent="0.4">
      <c r="A89">
        <v>83</v>
      </c>
      <c r="B89">
        <f ca="1">設定!$A$14</f>
        <v>110101</v>
      </c>
      <c r="C89" s="98" t="s">
        <v>665</v>
      </c>
      <c r="D89" t="s">
        <v>576</v>
      </c>
      <c r="E89" s="106" t="str">
        <f ca="1">テーブル3[[#This Row],[学校コード]]&amp;テーブル3[[#This Row],[数字]]&amp;テーブル3[[#This Row],[記号2]]</f>
        <v>110101083K</v>
      </c>
      <c r="I89" s="106"/>
    </row>
    <row r="90" spans="1:9" x14ac:dyDescent="0.4">
      <c r="A90">
        <v>84</v>
      </c>
      <c r="B90">
        <f ca="1">設定!$A$14</f>
        <v>110101</v>
      </c>
      <c r="C90" s="98" t="s">
        <v>666</v>
      </c>
      <c r="D90" t="s">
        <v>577</v>
      </c>
      <c r="E90" s="106" t="str">
        <f ca="1">テーブル3[[#This Row],[学校コード]]&amp;テーブル3[[#This Row],[数字]]&amp;テーブル3[[#This Row],[記号2]]</f>
        <v>110101084M</v>
      </c>
      <c r="I90" s="106"/>
    </row>
    <row r="91" spans="1:9" x14ac:dyDescent="0.4">
      <c r="A91">
        <v>85</v>
      </c>
      <c r="B91">
        <f ca="1">設定!$A$14</f>
        <v>110101</v>
      </c>
      <c r="C91" s="98" t="s">
        <v>667</v>
      </c>
      <c r="D91" t="s">
        <v>578</v>
      </c>
      <c r="E91" s="106" t="str">
        <f ca="1">テーブル3[[#This Row],[学校コード]]&amp;テーブル3[[#This Row],[数字]]&amp;テーブル3[[#This Row],[記号2]]</f>
        <v>110101085N</v>
      </c>
      <c r="I91" s="106"/>
    </row>
    <row r="92" spans="1:9" x14ac:dyDescent="0.4">
      <c r="A92">
        <v>86</v>
      </c>
      <c r="B92">
        <f ca="1">設定!$A$14</f>
        <v>110101</v>
      </c>
      <c r="C92" s="98" t="s">
        <v>668</v>
      </c>
      <c r="D92" t="s">
        <v>579</v>
      </c>
      <c r="E92" s="106" t="str">
        <f ca="1">テーブル3[[#This Row],[学校コード]]&amp;テーブル3[[#This Row],[数字]]&amp;テーブル3[[#This Row],[記号2]]</f>
        <v>110101086R</v>
      </c>
      <c r="I92" s="106"/>
    </row>
    <row r="93" spans="1:9" x14ac:dyDescent="0.4">
      <c r="A93">
        <v>87</v>
      </c>
      <c r="B93">
        <f ca="1">設定!$A$14</f>
        <v>110101</v>
      </c>
      <c r="C93" s="98" t="s">
        <v>669</v>
      </c>
      <c r="D93" t="s">
        <v>580</v>
      </c>
      <c r="E93" s="106" t="str">
        <f ca="1">テーブル3[[#This Row],[学校コード]]&amp;テーブル3[[#This Row],[数字]]&amp;テーブル3[[#This Row],[記号2]]</f>
        <v>110101087V</v>
      </c>
      <c r="I93" s="106"/>
    </row>
    <row r="94" spans="1:9" x14ac:dyDescent="0.4">
      <c r="A94">
        <v>88</v>
      </c>
      <c r="B94">
        <f ca="1">設定!$A$14</f>
        <v>110101</v>
      </c>
      <c r="C94" s="98" t="s">
        <v>670</v>
      </c>
      <c r="D94" t="s">
        <v>581</v>
      </c>
      <c r="E94" s="106" t="str">
        <f ca="1">テーブル3[[#This Row],[学校コード]]&amp;テーブル3[[#This Row],[数字]]&amp;テーブル3[[#This Row],[記号2]]</f>
        <v>110101088X</v>
      </c>
      <c r="I94" s="106"/>
    </row>
    <row r="95" spans="1:9" x14ac:dyDescent="0.4">
      <c r="A95">
        <v>89</v>
      </c>
      <c r="B95">
        <f ca="1">設定!$A$14</f>
        <v>110101</v>
      </c>
      <c r="C95" s="98" t="s">
        <v>671</v>
      </c>
      <c r="D95" t="s">
        <v>574</v>
      </c>
      <c r="E95" s="106" t="str">
        <f ca="1">テーブル3[[#This Row],[学校コード]]&amp;テーブル3[[#This Row],[数字]]&amp;テーブル3[[#This Row],[記号2]]</f>
        <v>110101089A</v>
      </c>
      <c r="I95" s="106"/>
    </row>
    <row r="96" spans="1:9" x14ac:dyDescent="0.4">
      <c r="A96">
        <v>90</v>
      </c>
      <c r="B96">
        <f ca="1">設定!$A$14</f>
        <v>110101</v>
      </c>
      <c r="C96" s="98" t="s">
        <v>672</v>
      </c>
      <c r="D96" t="s">
        <v>575</v>
      </c>
      <c r="E96" s="106" t="str">
        <f ca="1">テーブル3[[#This Row],[学校コード]]&amp;テーブル3[[#This Row],[数字]]&amp;テーブル3[[#This Row],[記号2]]</f>
        <v>110101090H</v>
      </c>
      <c r="I96" s="106"/>
    </row>
    <row r="97" spans="1:9" x14ac:dyDescent="0.4">
      <c r="A97">
        <v>91</v>
      </c>
      <c r="B97">
        <f ca="1">設定!$A$14</f>
        <v>110101</v>
      </c>
      <c r="C97" s="98" t="s">
        <v>673</v>
      </c>
      <c r="D97" t="s">
        <v>576</v>
      </c>
      <c r="E97" s="106" t="str">
        <f ca="1">テーブル3[[#This Row],[学校コード]]&amp;テーブル3[[#This Row],[数字]]&amp;テーブル3[[#This Row],[記号2]]</f>
        <v>110101091K</v>
      </c>
      <c r="I97" s="106"/>
    </row>
    <row r="98" spans="1:9" x14ac:dyDescent="0.4">
      <c r="A98">
        <v>92</v>
      </c>
      <c r="B98">
        <f ca="1">設定!$A$14</f>
        <v>110101</v>
      </c>
      <c r="C98" s="98" t="s">
        <v>674</v>
      </c>
      <c r="D98" t="s">
        <v>577</v>
      </c>
      <c r="E98" s="106" t="str">
        <f ca="1">テーブル3[[#This Row],[学校コード]]&amp;テーブル3[[#This Row],[数字]]&amp;テーブル3[[#This Row],[記号2]]</f>
        <v>110101092M</v>
      </c>
      <c r="I98" s="106"/>
    </row>
    <row r="99" spans="1:9" x14ac:dyDescent="0.4">
      <c r="A99">
        <v>93</v>
      </c>
      <c r="B99">
        <f ca="1">設定!$A$14</f>
        <v>110101</v>
      </c>
      <c r="C99" s="98" t="s">
        <v>675</v>
      </c>
      <c r="D99" t="s">
        <v>578</v>
      </c>
      <c r="E99" s="106" t="str">
        <f ca="1">テーブル3[[#This Row],[学校コード]]&amp;テーブル3[[#This Row],[数字]]&amp;テーブル3[[#This Row],[記号2]]</f>
        <v>110101093N</v>
      </c>
      <c r="I99" s="106"/>
    </row>
    <row r="100" spans="1:9" x14ac:dyDescent="0.4">
      <c r="A100">
        <v>94</v>
      </c>
      <c r="B100">
        <f ca="1">設定!$A$14</f>
        <v>110101</v>
      </c>
      <c r="C100" s="98" t="s">
        <v>676</v>
      </c>
      <c r="D100" t="s">
        <v>579</v>
      </c>
      <c r="E100" s="106" t="str">
        <f ca="1">テーブル3[[#This Row],[学校コード]]&amp;テーブル3[[#This Row],[数字]]&amp;テーブル3[[#This Row],[記号2]]</f>
        <v>110101094R</v>
      </c>
      <c r="I100" s="106"/>
    </row>
    <row r="101" spans="1:9" x14ac:dyDescent="0.4">
      <c r="A101">
        <v>95</v>
      </c>
      <c r="B101">
        <f ca="1">設定!$A$14</f>
        <v>110101</v>
      </c>
      <c r="C101" s="98" t="s">
        <v>677</v>
      </c>
      <c r="D101" t="s">
        <v>580</v>
      </c>
      <c r="E101" s="106" t="str">
        <f ca="1">テーブル3[[#This Row],[学校コード]]&amp;テーブル3[[#This Row],[数字]]&amp;テーブル3[[#This Row],[記号2]]</f>
        <v>110101095V</v>
      </c>
      <c r="I101" s="106"/>
    </row>
    <row r="102" spans="1:9" x14ac:dyDescent="0.4">
      <c r="A102">
        <v>96</v>
      </c>
      <c r="B102">
        <f ca="1">設定!$A$14</f>
        <v>110101</v>
      </c>
      <c r="C102" s="98" t="s">
        <v>678</v>
      </c>
      <c r="D102" t="s">
        <v>581</v>
      </c>
      <c r="E102" s="106" t="str">
        <f ca="1">テーブル3[[#This Row],[学校コード]]&amp;テーブル3[[#This Row],[数字]]&amp;テーブル3[[#This Row],[記号2]]</f>
        <v>110101096X</v>
      </c>
      <c r="I102" s="106"/>
    </row>
    <row r="103" spans="1:9" x14ac:dyDescent="0.4">
      <c r="A103">
        <v>97</v>
      </c>
      <c r="B103">
        <f ca="1">設定!$A$14</f>
        <v>110101</v>
      </c>
      <c r="C103" s="98" t="s">
        <v>679</v>
      </c>
      <c r="D103" t="s">
        <v>574</v>
      </c>
      <c r="E103" s="106" t="str">
        <f ca="1">テーブル3[[#This Row],[学校コード]]&amp;テーブル3[[#This Row],[数字]]&amp;テーブル3[[#This Row],[記号2]]</f>
        <v>110101097A</v>
      </c>
      <c r="I103" s="106"/>
    </row>
    <row r="104" spans="1:9" x14ac:dyDescent="0.4">
      <c r="A104">
        <v>98</v>
      </c>
      <c r="B104">
        <f ca="1">設定!$A$14</f>
        <v>110101</v>
      </c>
      <c r="C104" s="98" t="s">
        <v>680</v>
      </c>
      <c r="D104" t="s">
        <v>575</v>
      </c>
      <c r="E104" s="106" t="str">
        <f ca="1">テーブル3[[#This Row],[学校コード]]&amp;テーブル3[[#This Row],[数字]]&amp;テーブル3[[#This Row],[記号2]]</f>
        <v>110101098H</v>
      </c>
      <c r="I104" s="106"/>
    </row>
    <row r="105" spans="1:9" x14ac:dyDescent="0.4">
      <c r="A105">
        <v>99</v>
      </c>
      <c r="B105">
        <f ca="1">設定!$A$14</f>
        <v>110101</v>
      </c>
      <c r="C105" s="98" t="s">
        <v>681</v>
      </c>
      <c r="D105" t="s">
        <v>576</v>
      </c>
      <c r="E105" s="106" t="str">
        <f ca="1">テーブル3[[#This Row],[学校コード]]&amp;テーブル3[[#This Row],[数字]]&amp;テーブル3[[#This Row],[記号2]]</f>
        <v>110101099K</v>
      </c>
      <c r="I105" s="106"/>
    </row>
    <row r="106" spans="1:9" x14ac:dyDescent="0.4">
      <c r="A106">
        <v>100</v>
      </c>
      <c r="B106">
        <f ca="1">設定!$A$14</f>
        <v>110101</v>
      </c>
      <c r="C106" s="98" t="s">
        <v>682</v>
      </c>
      <c r="D106" t="s">
        <v>577</v>
      </c>
      <c r="E106" s="106" t="str">
        <f ca="1">テーブル3[[#This Row],[学校コード]]&amp;テーブル3[[#This Row],[数字]]&amp;テーブル3[[#This Row],[記号2]]</f>
        <v>110101100M</v>
      </c>
      <c r="I106" s="106"/>
    </row>
    <row r="107" spans="1:9" x14ac:dyDescent="0.4">
      <c r="A107">
        <v>101</v>
      </c>
      <c r="B107">
        <f ca="1">設定!$A$14</f>
        <v>110101</v>
      </c>
      <c r="C107" s="98" t="s">
        <v>683</v>
      </c>
      <c r="D107" t="s">
        <v>578</v>
      </c>
      <c r="E107" s="106" t="str">
        <f ca="1">テーブル3[[#This Row],[学校コード]]&amp;テーブル3[[#This Row],[数字]]&amp;テーブル3[[#This Row],[記号2]]</f>
        <v>110101101N</v>
      </c>
      <c r="I107" s="106"/>
    </row>
    <row r="108" spans="1:9" x14ac:dyDescent="0.4">
      <c r="A108">
        <v>102</v>
      </c>
      <c r="B108">
        <f ca="1">設定!$A$14</f>
        <v>110101</v>
      </c>
      <c r="C108" s="98" t="s">
        <v>684</v>
      </c>
      <c r="D108" t="s">
        <v>579</v>
      </c>
      <c r="E108" s="106" t="str">
        <f ca="1">テーブル3[[#This Row],[学校コード]]&amp;テーブル3[[#This Row],[数字]]&amp;テーブル3[[#This Row],[記号2]]</f>
        <v>110101102R</v>
      </c>
      <c r="I108" s="106"/>
    </row>
    <row r="109" spans="1:9" x14ac:dyDescent="0.4">
      <c r="A109">
        <v>103</v>
      </c>
      <c r="B109">
        <f ca="1">設定!$A$14</f>
        <v>110101</v>
      </c>
      <c r="C109" s="98" t="s">
        <v>685</v>
      </c>
      <c r="D109" t="s">
        <v>580</v>
      </c>
      <c r="E109" s="106" t="str">
        <f ca="1">テーブル3[[#This Row],[学校コード]]&amp;テーブル3[[#This Row],[数字]]&amp;テーブル3[[#This Row],[記号2]]</f>
        <v>110101103V</v>
      </c>
      <c r="I109" s="106"/>
    </row>
    <row r="110" spans="1:9" x14ac:dyDescent="0.4">
      <c r="A110">
        <v>104</v>
      </c>
      <c r="B110">
        <f ca="1">設定!$A$14</f>
        <v>110101</v>
      </c>
      <c r="C110" s="98" t="s">
        <v>686</v>
      </c>
      <c r="D110" t="s">
        <v>581</v>
      </c>
      <c r="E110" s="106" t="str">
        <f ca="1">テーブル3[[#This Row],[学校コード]]&amp;テーブル3[[#This Row],[数字]]&amp;テーブル3[[#This Row],[記号2]]</f>
        <v>110101104X</v>
      </c>
      <c r="I110" s="106"/>
    </row>
    <row r="111" spans="1:9" x14ac:dyDescent="0.4">
      <c r="A111">
        <v>105</v>
      </c>
      <c r="B111">
        <f ca="1">設定!$A$14</f>
        <v>110101</v>
      </c>
      <c r="C111" s="98" t="s">
        <v>687</v>
      </c>
      <c r="D111" t="s">
        <v>574</v>
      </c>
      <c r="E111" s="106" t="str">
        <f ca="1">テーブル3[[#This Row],[学校コード]]&amp;テーブル3[[#This Row],[数字]]&amp;テーブル3[[#This Row],[記号2]]</f>
        <v>110101105A</v>
      </c>
      <c r="I111" s="106"/>
    </row>
    <row r="112" spans="1:9" x14ac:dyDescent="0.4">
      <c r="A112">
        <v>106</v>
      </c>
      <c r="B112">
        <f ca="1">設定!$A$14</f>
        <v>110101</v>
      </c>
      <c r="C112" s="98" t="s">
        <v>688</v>
      </c>
      <c r="D112" t="s">
        <v>575</v>
      </c>
      <c r="E112" s="106" t="str">
        <f ca="1">テーブル3[[#This Row],[学校コード]]&amp;テーブル3[[#This Row],[数字]]&amp;テーブル3[[#This Row],[記号2]]</f>
        <v>110101106H</v>
      </c>
      <c r="I112" s="106"/>
    </row>
    <row r="113" spans="1:9" x14ac:dyDescent="0.4">
      <c r="A113">
        <v>107</v>
      </c>
      <c r="B113">
        <f ca="1">設定!$A$14</f>
        <v>110101</v>
      </c>
      <c r="C113" s="98" t="s">
        <v>689</v>
      </c>
      <c r="D113" t="s">
        <v>576</v>
      </c>
      <c r="E113" s="106" t="str">
        <f ca="1">テーブル3[[#This Row],[学校コード]]&amp;テーブル3[[#This Row],[数字]]&amp;テーブル3[[#This Row],[記号2]]</f>
        <v>110101107K</v>
      </c>
      <c r="I113" s="106"/>
    </row>
    <row r="114" spans="1:9" x14ac:dyDescent="0.4">
      <c r="A114">
        <v>108</v>
      </c>
      <c r="B114">
        <f ca="1">設定!$A$14</f>
        <v>110101</v>
      </c>
      <c r="C114" s="98" t="s">
        <v>690</v>
      </c>
      <c r="D114" t="s">
        <v>577</v>
      </c>
      <c r="E114" s="106" t="str">
        <f ca="1">テーブル3[[#This Row],[学校コード]]&amp;テーブル3[[#This Row],[数字]]&amp;テーブル3[[#This Row],[記号2]]</f>
        <v>110101108M</v>
      </c>
      <c r="I114" s="106"/>
    </row>
    <row r="115" spans="1:9" x14ac:dyDescent="0.4">
      <c r="A115">
        <v>109</v>
      </c>
      <c r="B115">
        <f ca="1">設定!$A$14</f>
        <v>110101</v>
      </c>
      <c r="C115" s="98" t="s">
        <v>691</v>
      </c>
      <c r="D115" t="s">
        <v>578</v>
      </c>
      <c r="E115" s="106" t="str">
        <f ca="1">テーブル3[[#This Row],[学校コード]]&amp;テーブル3[[#This Row],[数字]]&amp;テーブル3[[#This Row],[記号2]]</f>
        <v>110101109N</v>
      </c>
      <c r="I115" s="106"/>
    </row>
    <row r="116" spans="1:9" x14ac:dyDescent="0.4">
      <c r="A116">
        <v>110</v>
      </c>
      <c r="B116">
        <f ca="1">設定!$A$14</f>
        <v>110101</v>
      </c>
      <c r="C116" s="98" t="s">
        <v>692</v>
      </c>
      <c r="D116" t="s">
        <v>579</v>
      </c>
      <c r="E116" s="106" t="str">
        <f ca="1">テーブル3[[#This Row],[学校コード]]&amp;テーブル3[[#This Row],[数字]]&amp;テーブル3[[#This Row],[記号2]]</f>
        <v>110101110R</v>
      </c>
      <c r="I116" s="106"/>
    </row>
    <row r="117" spans="1:9" x14ac:dyDescent="0.4">
      <c r="A117">
        <v>111</v>
      </c>
      <c r="B117">
        <f ca="1">設定!$A$14</f>
        <v>110101</v>
      </c>
      <c r="C117" s="98" t="s">
        <v>693</v>
      </c>
      <c r="D117" t="s">
        <v>580</v>
      </c>
      <c r="E117" s="106" t="str">
        <f ca="1">テーブル3[[#This Row],[学校コード]]&amp;テーブル3[[#This Row],[数字]]&amp;テーブル3[[#This Row],[記号2]]</f>
        <v>110101111V</v>
      </c>
      <c r="I117" s="106"/>
    </row>
    <row r="118" spans="1:9" x14ac:dyDescent="0.4">
      <c r="A118">
        <v>112</v>
      </c>
      <c r="B118">
        <f ca="1">設定!$A$14</f>
        <v>110101</v>
      </c>
      <c r="C118" s="98" t="s">
        <v>694</v>
      </c>
      <c r="D118" t="s">
        <v>581</v>
      </c>
      <c r="E118" s="106" t="str">
        <f ca="1">テーブル3[[#This Row],[学校コード]]&amp;テーブル3[[#This Row],[数字]]&amp;テーブル3[[#This Row],[記号2]]</f>
        <v>110101112X</v>
      </c>
      <c r="I118" s="106"/>
    </row>
    <row r="119" spans="1:9" x14ac:dyDescent="0.4">
      <c r="A119">
        <v>113</v>
      </c>
      <c r="B119">
        <f ca="1">設定!$A$14</f>
        <v>110101</v>
      </c>
      <c r="C119" s="98" t="s">
        <v>695</v>
      </c>
      <c r="D119" t="s">
        <v>574</v>
      </c>
      <c r="E119" s="106" t="str">
        <f ca="1">テーブル3[[#This Row],[学校コード]]&amp;テーブル3[[#This Row],[数字]]&amp;テーブル3[[#This Row],[記号2]]</f>
        <v>110101113A</v>
      </c>
      <c r="I119" s="106"/>
    </row>
    <row r="120" spans="1:9" x14ac:dyDescent="0.4">
      <c r="A120">
        <v>114</v>
      </c>
      <c r="B120">
        <f ca="1">設定!$A$14</f>
        <v>110101</v>
      </c>
      <c r="C120" s="98" t="s">
        <v>696</v>
      </c>
      <c r="D120" t="s">
        <v>575</v>
      </c>
      <c r="E120" s="106" t="str">
        <f ca="1">テーブル3[[#This Row],[学校コード]]&amp;テーブル3[[#This Row],[数字]]&amp;テーブル3[[#This Row],[記号2]]</f>
        <v>110101114H</v>
      </c>
      <c r="I120" s="106"/>
    </row>
    <row r="121" spans="1:9" x14ac:dyDescent="0.4">
      <c r="A121">
        <v>115</v>
      </c>
      <c r="B121">
        <f ca="1">設定!$A$14</f>
        <v>110101</v>
      </c>
      <c r="C121" s="98" t="s">
        <v>697</v>
      </c>
      <c r="D121" t="s">
        <v>576</v>
      </c>
      <c r="E121" s="106" t="str">
        <f ca="1">テーブル3[[#This Row],[学校コード]]&amp;テーブル3[[#This Row],[数字]]&amp;テーブル3[[#This Row],[記号2]]</f>
        <v>110101115K</v>
      </c>
      <c r="I121" s="106"/>
    </row>
    <row r="122" spans="1:9" x14ac:dyDescent="0.4">
      <c r="A122">
        <v>116</v>
      </c>
      <c r="B122">
        <f ca="1">設定!$A$14</f>
        <v>110101</v>
      </c>
      <c r="C122" s="98" t="s">
        <v>698</v>
      </c>
      <c r="D122" t="s">
        <v>577</v>
      </c>
      <c r="E122" s="106" t="str">
        <f ca="1">テーブル3[[#This Row],[学校コード]]&amp;テーブル3[[#This Row],[数字]]&amp;テーブル3[[#This Row],[記号2]]</f>
        <v>110101116M</v>
      </c>
      <c r="I122" s="106"/>
    </row>
    <row r="123" spans="1:9" x14ac:dyDescent="0.4">
      <c r="A123">
        <v>117</v>
      </c>
      <c r="B123">
        <f ca="1">設定!$A$14</f>
        <v>110101</v>
      </c>
      <c r="C123" s="98" t="s">
        <v>699</v>
      </c>
      <c r="D123" t="s">
        <v>578</v>
      </c>
      <c r="E123" s="106" t="str">
        <f ca="1">テーブル3[[#This Row],[学校コード]]&amp;テーブル3[[#This Row],[数字]]&amp;テーブル3[[#This Row],[記号2]]</f>
        <v>110101117N</v>
      </c>
      <c r="I123" s="106"/>
    </row>
    <row r="124" spans="1:9" x14ac:dyDescent="0.4">
      <c r="A124">
        <v>118</v>
      </c>
      <c r="B124">
        <f ca="1">設定!$A$14</f>
        <v>110101</v>
      </c>
      <c r="C124" s="98" t="s">
        <v>700</v>
      </c>
      <c r="D124" t="s">
        <v>579</v>
      </c>
      <c r="E124" s="106" t="str">
        <f ca="1">テーブル3[[#This Row],[学校コード]]&amp;テーブル3[[#This Row],[数字]]&amp;テーブル3[[#This Row],[記号2]]</f>
        <v>110101118R</v>
      </c>
      <c r="I124" s="106"/>
    </row>
    <row r="125" spans="1:9" x14ac:dyDescent="0.4">
      <c r="A125">
        <v>119</v>
      </c>
      <c r="B125">
        <f ca="1">設定!$A$14</f>
        <v>110101</v>
      </c>
      <c r="C125" s="98" t="s">
        <v>701</v>
      </c>
      <c r="D125" t="s">
        <v>580</v>
      </c>
      <c r="E125" s="106" t="str">
        <f ca="1">テーブル3[[#This Row],[学校コード]]&amp;テーブル3[[#This Row],[数字]]&amp;テーブル3[[#This Row],[記号2]]</f>
        <v>110101119V</v>
      </c>
      <c r="I125" s="106"/>
    </row>
    <row r="126" spans="1:9" x14ac:dyDescent="0.4">
      <c r="A126">
        <v>120</v>
      </c>
      <c r="B126">
        <f ca="1">設定!$A$14</f>
        <v>110101</v>
      </c>
      <c r="C126" s="98" t="s">
        <v>702</v>
      </c>
      <c r="D126" t="s">
        <v>581</v>
      </c>
      <c r="E126" s="106" t="str">
        <f ca="1">テーブル3[[#This Row],[学校コード]]&amp;テーブル3[[#This Row],[数字]]&amp;テーブル3[[#This Row],[記号2]]</f>
        <v>110101120X</v>
      </c>
      <c r="I126" s="106"/>
    </row>
    <row r="127" spans="1:9" x14ac:dyDescent="0.4">
      <c r="A127">
        <v>121</v>
      </c>
      <c r="B127">
        <f ca="1">設定!$A$14</f>
        <v>110101</v>
      </c>
      <c r="C127" s="98" t="s">
        <v>703</v>
      </c>
      <c r="D127" t="s">
        <v>574</v>
      </c>
      <c r="E127" s="106" t="str">
        <f ca="1">テーブル3[[#This Row],[学校コード]]&amp;テーブル3[[#This Row],[数字]]&amp;テーブル3[[#This Row],[記号2]]</f>
        <v>110101121A</v>
      </c>
      <c r="I127" s="106"/>
    </row>
    <row r="128" spans="1:9" x14ac:dyDescent="0.4">
      <c r="A128">
        <v>122</v>
      </c>
      <c r="B128">
        <f ca="1">設定!$A$14</f>
        <v>110101</v>
      </c>
      <c r="C128" s="98" t="s">
        <v>704</v>
      </c>
      <c r="D128" t="s">
        <v>575</v>
      </c>
      <c r="E128" s="106" t="str">
        <f ca="1">テーブル3[[#This Row],[学校コード]]&amp;テーブル3[[#This Row],[数字]]&amp;テーブル3[[#This Row],[記号2]]</f>
        <v>110101122H</v>
      </c>
      <c r="I128" s="106"/>
    </row>
    <row r="129" spans="1:9" x14ac:dyDescent="0.4">
      <c r="A129">
        <v>123</v>
      </c>
      <c r="B129">
        <f ca="1">設定!$A$14</f>
        <v>110101</v>
      </c>
      <c r="C129" s="98" t="s">
        <v>705</v>
      </c>
      <c r="D129" t="s">
        <v>576</v>
      </c>
      <c r="E129" s="106" t="str">
        <f ca="1">テーブル3[[#This Row],[学校コード]]&amp;テーブル3[[#This Row],[数字]]&amp;テーブル3[[#This Row],[記号2]]</f>
        <v>110101123K</v>
      </c>
      <c r="I129" s="106"/>
    </row>
    <row r="130" spans="1:9" x14ac:dyDescent="0.4">
      <c r="A130">
        <v>124</v>
      </c>
      <c r="B130">
        <f ca="1">設定!$A$14</f>
        <v>110101</v>
      </c>
      <c r="C130" s="98" t="s">
        <v>706</v>
      </c>
      <c r="D130" t="s">
        <v>577</v>
      </c>
      <c r="E130" s="106" t="str">
        <f ca="1">テーブル3[[#This Row],[学校コード]]&amp;テーブル3[[#This Row],[数字]]&amp;テーブル3[[#This Row],[記号2]]</f>
        <v>110101124M</v>
      </c>
      <c r="I130" s="106"/>
    </row>
    <row r="131" spans="1:9" x14ac:dyDescent="0.4">
      <c r="A131">
        <v>125</v>
      </c>
      <c r="B131">
        <f ca="1">設定!$A$14</f>
        <v>110101</v>
      </c>
      <c r="C131" s="98" t="s">
        <v>707</v>
      </c>
      <c r="D131" t="s">
        <v>578</v>
      </c>
      <c r="E131" s="106" t="str">
        <f ca="1">テーブル3[[#This Row],[学校コード]]&amp;テーブル3[[#This Row],[数字]]&amp;テーブル3[[#This Row],[記号2]]</f>
        <v>110101125N</v>
      </c>
      <c r="I131" s="106"/>
    </row>
    <row r="132" spans="1:9" x14ac:dyDescent="0.4">
      <c r="A132">
        <v>126</v>
      </c>
      <c r="B132">
        <f ca="1">設定!$A$14</f>
        <v>110101</v>
      </c>
      <c r="C132" s="98" t="s">
        <v>708</v>
      </c>
      <c r="D132" t="s">
        <v>579</v>
      </c>
      <c r="E132" s="106" t="str">
        <f ca="1">テーブル3[[#This Row],[学校コード]]&amp;テーブル3[[#This Row],[数字]]&amp;テーブル3[[#This Row],[記号2]]</f>
        <v>110101126R</v>
      </c>
      <c r="I132" s="106"/>
    </row>
    <row r="133" spans="1:9" x14ac:dyDescent="0.4">
      <c r="A133">
        <v>127</v>
      </c>
      <c r="B133">
        <f ca="1">設定!$A$14</f>
        <v>110101</v>
      </c>
      <c r="C133" s="98" t="s">
        <v>709</v>
      </c>
      <c r="D133" t="s">
        <v>580</v>
      </c>
      <c r="E133" s="106" t="str">
        <f ca="1">テーブル3[[#This Row],[学校コード]]&amp;テーブル3[[#This Row],[数字]]&amp;テーブル3[[#This Row],[記号2]]</f>
        <v>110101127V</v>
      </c>
      <c r="I133" s="106"/>
    </row>
    <row r="134" spans="1:9" x14ac:dyDescent="0.4">
      <c r="A134">
        <v>128</v>
      </c>
      <c r="B134">
        <f ca="1">設定!$A$14</f>
        <v>110101</v>
      </c>
      <c r="C134" s="98" t="s">
        <v>710</v>
      </c>
      <c r="D134" t="s">
        <v>581</v>
      </c>
      <c r="E134" s="106" t="str">
        <f ca="1">テーブル3[[#This Row],[学校コード]]&amp;テーブル3[[#This Row],[数字]]&amp;テーブル3[[#This Row],[記号2]]</f>
        <v>110101128X</v>
      </c>
      <c r="I134" s="106"/>
    </row>
    <row r="135" spans="1:9" x14ac:dyDescent="0.4">
      <c r="A135">
        <v>129</v>
      </c>
      <c r="B135">
        <f ca="1">設定!$A$14</f>
        <v>110101</v>
      </c>
      <c r="C135" s="98" t="s">
        <v>711</v>
      </c>
      <c r="D135" t="s">
        <v>574</v>
      </c>
      <c r="E135" s="106" t="str">
        <f ca="1">テーブル3[[#This Row],[学校コード]]&amp;テーブル3[[#This Row],[数字]]&amp;テーブル3[[#This Row],[記号2]]</f>
        <v>110101129A</v>
      </c>
      <c r="I135" s="106"/>
    </row>
    <row r="136" spans="1:9" x14ac:dyDescent="0.4">
      <c r="A136">
        <v>130</v>
      </c>
      <c r="B136">
        <f ca="1">設定!$A$14</f>
        <v>110101</v>
      </c>
      <c r="C136" s="98" t="s">
        <v>712</v>
      </c>
      <c r="D136" t="s">
        <v>575</v>
      </c>
      <c r="E136" s="106" t="str">
        <f ca="1">テーブル3[[#This Row],[学校コード]]&amp;テーブル3[[#This Row],[数字]]&amp;テーブル3[[#This Row],[記号2]]</f>
        <v>110101130H</v>
      </c>
      <c r="I136" s="106"/>
    </row>
    <row r="137" spans="1:9" x14ac:dyDescent="0.4">
      <c r="A137">
        <v>131</v>
      </c>
      <c r="B137">
        <f ca="1">設定!$A$14</f>
        <v>110101</v>
      </c>
      <c r="C137" s="98" t="s">
        <v>713</v>
      </c>
      <c r="D137" t="s">
        <v>576</v>
      </c>
      <c r="E137" s="106" t="str">
        <f ca="1">テーブル3[[#This Row],[学校コード]]&amp;テーブル3[[#This Row],[数字]]&amp;テーブル3[[#This Row],[記号2]]</f>
        <v>110101131K</v>
      </c>
      <c r="I137" s="106"/>
    </row>
    <row r="138" spans="1:9" x14ac:dyDescent="0.4">
      <c r="A138">
        <v>132</v>
      </c>
      <c r="B138">
        <f ca="1">設定!$A$14</f>
        <v>110101</v>
      </c>
      <c r="C138" s="98" t="s">
        <v>714</v>
      </c>
      <c r="D138" t="s">
        <v>577</v>
      </c>
      <c r="E138" s="106" t="str">
        <f ca="1">テーブル3[[#This Row],[学校コード]]&amp;テーブル3[[#This Row],[数字]]&amp;テーブル3[[#This Row],[記号2]]</f>
        <v>110101132M</v>
      </c>
      <c r="I138" s="106"/>
    </row>
    <row r="139" spans="1:9" x14ac:dyDescent="0.4">
      <c r="A139">
        <v>133</v>
      </c>
      <c r="B139">
        <f ca="1">設定!$A$14</f>
        <v>110101</v>
      </c>
      <c r="C139" s="98" t="s">
        <v>715</v>
      </c>
      <c r="D139" t="s">
        <v>578</v>
      </c>
      <c r="E139" s="106" t="str">
        <f ca="1">テーブル3[[#This Row],[学校コード]]&amp;テーブル3[[#This Row],[数字]]&amp;テーブル3[[#This Row],[記号2]]</f>
        <v>110101133N</v>
      </c>
      <c r="I139" s="106"/>
    </row>
    <row r="140" spans="1:9" x14ac:dyDescent="0.4">
      <c r="A140">
        <v>134</v>
      </c>
      <c r="B140">
        <f ca="1">設定!$A$14</f>
        <v>110101</v>
      </c>
      <c r="C140" s="98" t="s">
        <v>716</v>
      </c>
      <c r="D140" t="s">
        <v>579</v>
      </c>
      <c r="E140" s="106" t="str">
        <f ca="1">テーブル3[[#This Row],[学校コード]]&amp;テーブル3[[#This Row],[数字]]&amp;テーブル3[[#This Row],[記号2]]</f>
        <v>110101134R</v>
      </c>
      <c r="I140" s="106"/>
    </row>
    <row r="141" spans="1:9" x14ac:dyDescent="0.4">
      <c r="A141">
        <v>135</v>
      </c>
      <c r="B141">
        <f ca="1">設定!$A$14</f>
        <v>110101</v>
      </c>
      <c r="C141" s="98" t="s">
        <v>717</v>
      </c>
      <c r="D141" t="s">
        <v>580</v>
      </c>
      <c r="E141" s="106" t="str">
        <f ca="1">テーブル3[[#This Row],[学校コード]]&amp;テーブル3[[#This Row],[数字]]&amp;テーブル3[[#This Row],[記号2]]</f>
        <v>110101135V</v>
      </c>
      <c r="I141" s="106"/>
    </row>
    <row r="142" spans="1:9" x14ac:dyDescent="0.4">
      <c r="A142">
        <v>136</v>
      </c>
      <c r="B142">
        <f ca="1">設定!$A$14</f>
        <v>110101</v>
      </c>
      <c r="C142" s="98" t="s">
        <v>718</v>
      </c>
      <c r="D142" t="s">
        <v>581</v>
      </c>
      <c r="E142" s="106" t="str">
        <f ca="1">テーブル3[[#This Row],[学校コード]]&amp;テーブル3[[#This Row],[数字]]&amp;テーブル3[[#This Row],[記号2]]</f>
        <v>110101136X</v>
      </c>
      <c r="I142" s="106"/>
    </row>
    <row r="143" spans="1:9" x14ac:dyDescent="0.4">
      <c r="A143">
        <v>137</v>
      </c>
      <c r="B143">
        <f ca="1">設定!$A$14</f>
        <v>110101</v>
      </c>
      <c r="C143" s="98" t="s">
        <v>719</v>
      </c>
      <c r="D143" t="s">
        <v>574</v>
      </c>
      <c r="E143" s="106" t="str">
        <f ca="1">テーブル3[[#This Row],[学校コード]]&amp;テーブル3[[#This Row],[数字]]&amp;テーブル3[[#This Row],[記号2]]</f>
        <v>110101137A</v>
      </c>
      <c r="I143" s="106"/>
    </row>
    <row r="144" spans="1:9" x14ac:dyDescent="0.4">
      <c r="A144">
        <v>138</v>
      </c>
      <c r="B144">
        <f ca="1">設定!$A$14</f>
        <v>110101</v>
      </c>
      <c r="C144" s="98" t="s">
        <v>720</v>
      </c>
      <c r="D144" t="s">
        <v>575</v>
      </c>
      <c r="E144" s="106" t="str">
        <f ca="1">テーブル3[[#This Row],[学校コード]]&amp;テーブル3[[#This Row],[数字]]&amp;テーブル3[[#This Row],[記号2]]</f>
        <v>110101138H</v>
      </c>
      <c r="I144" s="106"/>
    </row>
    <row r="145" spans="1:9" x14ac:dyDescent="0.4">
      <c r="A145">
        <v>139</v>
      </c>
      <c r="B145">
        <f ca="1">設定!$A$14</f>
        <v>110101</v>
      </c>
      <c r="C145" s="98" t="s">
        <v>721</v>
      </c>
      <c r="D145" t="s">
        <v>576</v>
      </c>
      <c r="E145" s="106" t="str">
        <f ca="1">テーブル3[[#This Row],[学校コード]]&amp;テーブル3[[#This Row],[数字]]&amp;テーブル3[[#This Row],[記号2]]</f>
        <v>110101139K</v>
      </c>
      <c r="I145" s="106"/>
    </row>
    <row r="146" spans="1:9" x14ac:dyDescent="0.4">
      <c r="A146">
        <v>140</v>
      </c>
      <c r="B146">
        <f ca="1">設定!$A$14</f>
        <v>110101</v>
      </c>
      <c r="C146" s="98" t="s">
        <v>722</v>
      </c>
      <c r="D146" t="s">
        <v>577</v>
      </c>
      <c r="E146" s="106" t="str">
        <f ca="1">テーブル3[[#This Row],[学校コード]]&amp;テーブル3[[#This Row],[数字]]&amp;テーブル3[[#This Row],[記号2]]</f>
        <v>110101140M</v>
      </c>
      <c r="I146" s="106"/>
    </row>
    <row r="147" spans="1:9" x14ac:dyDescent="0.4">
      <c r="A147">
        <v>141</v>
      </c>
      <c r="B147">
        <f ca="1">設定!$A$14</f>
        <v>110101</v>
      </c>
      <c r="C147" s="98" t="s">
        <v>723</v>
      </c>
      <c r="D147" t="s">
        <v>578</v>
      </c>
      <c r="E147" s="106" t="str">
        <f ca="1">テーブル3[[#This Row],[学校コード]]&amp;テーブル3[[#This Row],[数字]]&amp;テーブル3[[#This Row],[記号2]]</f>
        <v>110101141N</v>
      </c>
      <c r="I147" s="106"/>
    </row>
    <row r="148" spans="1:9" x14ac:dyDescent="0.4">
      <c r="A148">
        <v>142</v>
      </c>
      <c r="B148">
        <f ca="1">設定!$A$14</f>
        <v>110101</v>
      </c>
      <c r="C148" s="98" t="s">
        <v>724</v>
      </c>
      <c r="D148" t="s">
        <v>579</v>
      </c>
      <c r="E148" s="106" t="str">
        <f ca="1">テーブル3[[#This Row],[学校コード]]&amp;テーブル3[[#This Row],[数字]]&amp;テーブル3[[#This Row],[記号2]]</f>
        <v>110101142R</v>
      </c>
      <c r="I148" s="106"/>
    </row>
    <row r="149" spans="1:9" x14ac:dyDescent="0.4">
      <c r="A149">
        <v>143</v>
      </c>
      <c r="B149">
        <f ca="1">設定!$A$14</f>
        <v>110101</v>
      </c>
      <c r="C149" s="98" t="s">
        <v>725</v>
      </c>
      <c r="D149" t="s">
        <v>580</v>
      </c>
      <c r="E149" s="106" t="str">
        <f ca="1">テーブル3[[#This Row],[学校コード]]&amp;テーブル3[[#This Row],[数字]]&amp;テーブル3[[#This Row],[記号2]]</f>
        <v>110101143V</v>
      </c>
      <c r="I149" s="106"/>
    </row>
    <row r="150" spans="1:9" x14ac:dyDescent="0.4">
      <c r="A150">
        <v>144</v>
      </c>
      <c r="B150">
        <f ca="1">設定!$A$14</f>
        <v>110101</v>
      </c>
      <c r="C150" s="98" t="s">
        <v>726</v>
      </c>
      <c r="D150" t="s">
        <v>581</v>
      </c>
      <c r="E150" s="106" t="str">
        <f ca="1">テーブル3[[#This Row],[学校コード]]&amp;テーブル3[[#This Row],[数字]]&amp;テーブル3[[#This Row],[記号2]]</f>
        <v>110101144X</v>
      </c>
      <c r="I150" s="106"/>
    </row>
    <row r="151" spans="1:9" x14ac:dyDescent="0.4">
      <c r="A151">
        <v>145</v>
      </c>
      <c r="B151">
        <f ca="1">設定!$A$14</f>
        <v>110101</v>
      </c>
      <c r="C151" s="98" t="s">
        <v>727</v>
      </c>
      <c r="D151" t="s">
        <v>574</v>
      </c>
      <c r="E151" s="106" t="str">
        <f ca="1">テーブル3[[#This Row],[学校コード]]&amp;テーブル3[[#This Row],[数字]]&amp;テーブル3[[#This Row],[記号2]]</f>
        <v>110101145A</v>
      </c>
      <c r="I151" s="106"/>
    </row>
    <row r="152" spans="1:9" x14ac:dyDescent="0.4">
      <c r="A152">
        <v>146</v>
      </c>
      <c r="B152">
        <f ca="1">設定!$A$14</f>
        <v>110101</v>
      </c>
      <c r="C152" s="98" t="s">
        <v>728</v>
      </c>
      <c r="D152" t="s">
        <v>575</v>
      </c>
      <c r="E152" s="106" t="str">
        <f ca="1">テーブル3[[#This Row],[学校コード]]&amp;テーブル3[[#This Row],[数字]]&amp;テーブル3[[#This Row],[記号2]]</f>
        <v>110101146H</v>
      </c>
      <c r="I152" s="106"/>
    </row>
    <row r="153" spans="1:9" x14ac:dyDescent="0.4">
      <c r="A153">
        <v>147</v>
      </c>
      <c r="B153">
        <f ca="1">設定!$A$14</f>
        <v>110101</v>
      </c>
      <c r="C153" s="98" t="s">
        <v>729</v>
      </c>
      <c r="D153" t="s">
        <v>576</v>
      </c>
      <c r="E153" s="106" t="str">
        <f ca="1">テーブル3[[#This Row],[学校コード]]&amp;テーブル3[[#This Row],[数字]]&amp;テーブル3[[#This Row],[記号2]]</f>
        <v>110101147K</v>
      </c>
      <c r="I153" s="106"/>
    </row>
    <row r="154" spans="1:9" x14ac:dyDescent="0.4">
      <c r="A154">
        <v>148</v>
      </c>
      <c r="B154">
        <f ca="1">設定!$A$14</f>
        <v>110101</v>
      </c>
      <c r="C154" s="98" t="s">
        <v>730</v>
      </c>
      <c r="D154" t="s">
        <v>577</v>
      </c>
      <c r="E154" s="106" t="str">
        <f ca="1">テーブル3[[#This Row],[学校コード]]&amp;テーブル3[[#This Row],[数字]]&amp;テーブル3[[#This Row],[記号2]]</f>
        <v>110101148M</v>
      </c>
      <c r="I154" s="106"/>
    </row>
    <row r="155" spans="1:9" x14ac:dyDescent="0.4">
      <c r="A155">
        <v>149</v>
      </c>
      <c r="B155">
        <f ca="1">設定!$A$14</f>
        <v>110101</v>
      </c>
      <c r="C155" s="98" t="s">
        <v>731</v>
      </c>
      <c r="D155" t="s">
        <v>578</v>
      </c>
      <c r="E155" s="106" t="str">
        <f ca="1">テーブル3[[#This Row],[学校コード]]&amp;テーブル3[[#This Row],[数字]]&amp;テーブル3[[#This Row],[記号2]]</f>
        <v>110101149N</v>
      </c>
      <c r="I155" s="106"/>
    </row>
    <row r="156" spans="1:9" x14ac:dyDescent="0.4">
      <c r="A156">
        <v>150</v>
      </c>
      <c r="B156">
        <f ca="1">設定!$A$14</f>
        <v>110101</v>
      </c>
      <c r="C156" s="98" t="s">
        <v>732</v>
      </c>
      <c r="D156" t="s">
        <v>579</v>
      </c>
      <c r="E156" s="106" t="str">
        <f ca="1">テーブル3[[#This Row],[学校コード]]&amp;テーブル3[[#This Row],[数字]]&amp;テーブル3[[#This Row],[記号2]]</f>
        <v>110101150R</v>
      </c>
      <c r="I156" s="106"/>
    </row>
    <row r="157" spans="1:9" x14ac:dyDescent="0.4">
      <c r="A157">
        <v>151</v>
      </c>
      <c r="B157">
        <f ca="1">設定!$A$14</f>
        <v>110101</v>
      </c>
      <c r="C157" s="98" t="s">
        <v>733</v>
      </c>
      <c r="D157" t="s">
        <v>580</v>
      </c>
      <c r="E157" s="106" t="str">
        <f ca="1">テーブル3[[#This Row],[学校コード]]&amp;テーブル3[[#This Row],[数字]]&amp;テーブル3[[#This Row],[記号2]]</f>
        <v>110101151V</v>
      </c>
      <c r="I157" s="106"/>
    </row>
    <row r="158" spans="1:9" x14ac:dyDescent="0.4">
      <c r="A158">
        <v>152</v>
      </c>
      <c r="B158">
        <f ca="1">設定!$A$14</f>
        <v>110101</v>
      </c>
      <c r="C158" s="98" t="s">
        <v>734</v>
      </c>
      <c r="D158" t="s">
        <v>581</v>
      </c>
      <c r="E158" s="106" t="str">
        <f ca="1">テーブル3[[#This Row],[学校コード]]&amp;テーブル3[[#This Row],[数字]]&amp;テーブル3[[#This Row],[記号2]]</f>
        <v>110101152X</v>
      </c>
      <c r="I158" s="106"/>
    </row>
    <row r="159" spans="1:9" x14ac:dyDescent="0.4">
      <c r="A159">
        <v>153</v>
      </c>
      <c r="B159">
        <f ca="1">設定!$A$14</f>
        <v>110101</v>
      </c>
      <c r="C159" s="98" t="s">
        <v>735</v>
      </c>
      <c r="D159" t="s">
        <v>574</v>
      </c>
      <c r="E159" s="106" t="str">
        <f ca="1">テーブル3[[#This Row],[学校コード]]&amp;テーブル3[[#This Row],[数字]]&amp;テーブル3[[#This Row],[記号2]]</f>
        <v>110101153A</v>
      </c>
      <c r="I159" s="106"/>
    </row>
    <row r="160" spans="1:9" x14ac:dyDescent="0.4">
      <c r="A160">
        <v>154</v>
      </c>
      <c r="B160">
        <f ca="1">設定!$A$14</f>
        <v>110101</v>
      </c>
      <c r="C160" s="98" t="s">
        <v>736</v>
      </c>
      <c r="D160" t="s">
        <v>575</v>
      </c>
      <c r="E160" s="106" t="str">
        <f ca="1">テーブル3[[#This Row],[学校コード]]&amp;テーブル3[[#This Row],[数字]]&amp;テーブル3[[#This Row],[記号2]]</f>
        <v>110101154H</v>
      </c>
      <c r="I160" s="106"/>
    </row>
    <row r="161" spans="1:9" x14ac:dyDescent="0.4">
      <c r="A161">
        <v>155</v>
      </c>
      <c r="B161">
        <f ca="1">設定!$A$14</f>
        <v>110101</v>
      </c>
      <c r="C161" s="98" t="s">
        <v>737</v>
      </c>
      <c r="D161" t="s">
        <v>576</v>
      </c>
      <c r="E161" s="106" t="str">
        <f ca="1">テーブル3[[#This Row],[学校コード]]&amp;テーブル3[[#This Row],[数字]]&amp;テーブル3[[#This Row],[記号2]]</f>
        <v>110101155K</v>
      </c>
      <c r="I161" s="106"/>
    </row>
    <row r="162" spans="1:9" x14ac:dyDescent="0.4">
      <c r="A162">
        <v>156</v>
      </c>
      <c r="B162">
        <f ca="1">設定!$A$14</f>
        <v>110101</v>
      </c>
      <c r="C162" s="98" t="s">
        <v>738</v>
      </c>
      <c r="D162" t="s">
        <v>577</v>
      </c>
      <c r="E162" s="106" t="str">
        <f ca="1">テーブル3[[#This Row],[学校コード]]&amp;テーブル3[[#This Row],[数字]]&amp;テーブル3[[#This Row],[記号2]]</f>
        <v>110101156M</v>
      </c>
      <c r="I162" s="106"/>
    </row>
    <row r="163" spans="1:9" x14ac:dyDescent="0.4">
      <c r="A163">
        <v>157</v>
      </c>
      <c r="B163">
        <f ca="1">設定!$A$14</f>
        <v>110101</v>
      </c>
      <c r="C163" s="98" t="s">
        <v>739</v>
      </c>
      <c r="D163" t="s">
        <v>578</v>
      </c>
      <c r="E163" s="106" t="str">
        <f ca="1">テーブル3[[#This Row],[学校コード]]&amp;テーブル3[[#This Row],[数字]]&amp;テーブル3[[#This Row],[記号2]]</f>
        <v>110101157N</v>
      </c>
      <c r="I163" s="106"/>
    </row>
    <row r="164" spans="1:9" x14ac:dyDescent="0.4">
      <c r="A164">
        <v>158</v>
      </c>
      <c r="B164">
        <f ca="1">設定!$A$14</f>
        <v>110101</v>
      </c>
      <c r="C164" s="98" t="s">
        <v>740</v>
      </c>
      <c r="D164" t="s">
        <v>579</v>
      </c>
      <c r="E164" s="106" t="str">
        <f ca="1">テーブル3[[#This Row],[学校コード]]&amp;テーブル3[[#This Row],[数字]]&amp;テーブル3[[#This Row],[記号2]]</f>
        <v>110101158R</v>
      </c>
      <c r="I164" s="106"/>
    </row>
    <row r="165" spans="1:9" x14ac:dyDescent="0.4">
      <c r="A165">
        <v>159</v>
      </c>
      <c r="B165">
        <f ca="1">設定!$A$14</f>
        <v>110101</v>
      </c>
      <c r="C165" s="98" t="s">
        <v>741</v>
      </c>
      <c r="D165" t="s">
        <v>580</v>
      </c>
      <c r="E165" s="106" t="str">
        <f ca="1">テーブル3[[#This Row],[学校コード]]&amp;テーブル3[[#This Row],[数字]]&amp;テーブル3[[#This Row],[記号2]]</f>
        <v>110101159V</v>
      </c>
      <c r="I165" s="106"/>
    </row>
    <row r="166" spans="1:9" x14ac:dyDescent="0.4">
      <c r="A166">
        <v>160</v>
      </c>
      <c r="B166">
        <f ca="1">設定!$A$14</f>
        <v>110101</v>
      </c>
      <c r="C166" s="98" t="s">
        <v>742</v>
      </c>
      <c r="D166" t="s">
        <v>581</v>
      </c>
      <c r="E166" s="106" t="str">
        <f ca="1">テーブル3[[#This Row],[学校コード]]&amp;テーブル3[[#This Row],[数字]]&amp;テーブル3[[#This Row],[記号2]]</f>
        <v>110101160X</v>
      </c>
      <c r="I166" s="106"/>
    </row>
    <row r="167" spans="1:9" x14ac:dyDescent="0.4">
      <c r="A167">
        <v>161</v>
      </c>
      <c r="B167">
        <f ca="1">設定!$A$14</f>
        <v>110101</v>
      </c>
      <c r="C167" s="98" t="s">
        <v>743</v>
      </c>
      <c r="D167" t="s">
        <v>574</v>
      </c>
      <c r="E167" s="106" t="str">
        <f ca="1">テーブル3[[#This Row],[学校コード]]&amp;テーブル3[[#This Row],[数字]]&amp;テーブル3[[#This Row],[記号2]]</f>
        <v>110101161A</v>
      </c>
      <c r="I167" s="106"/>
    </row>
    <row r="168" spans="1:9" x14ac:dyDescent="0.4">
      <c r="A168">
        <v>162</v>
      </c>
      <c r="B168">
        <f ca="1">設定!$A$14</f>
        <v>110101</v>
      </c>
      <c r="C168" s="98" t="s">
        <v>744</v>
      </c>
      <c r="D168" t="s">
        <v>575</v>
      </c>
      <c r="E168" s="106" t="str">
        <f ca="1">テーブル3[[#This Row],[学校コード]]&amp;テーブル3[[#This Row],[数字]]&amp;テーブル3[[#This Row],[記号2]]</f>
        <v>110101162H</v>
      </c>
      <c r="I168" s="106"/>
    </row>
    <row r="169" spans="1:9" x14ac:dyDescent="0.4">
      <c r="A169">
        <v>163</v>
      </c>
      <c r="B169">
        <f ca="1">設定!$A$14</f>
        <v>110101</v>
      </c>
      <c r="C169" s="98" t="s">
        <v>745</v>
      </c>
      <c r="D169" t="s">
        <v>576</v>
      </c>
      <c r="E169" s="106" t="str">
        <f ca="1">テーブル3[[#This Row],[学校コード]]&amp;テーブル3[[#This Row],[数字]]&amp;テーブル3[[#This Row],[記号2]]</f>
        <v>110101163K</v>
      </c>
      <c r="I169" s="106"/>
    </row>
    <row r="170" spans="1:9" x14ac:dyDescent="0.4">
      <c r="A170">
        <v>164</v>
      </c>
      <c r="B170">
        <f ca="1">設定!$A$14</f>
        <v>110101</v>
      </c>
      <c r="C170" s="98" t="s">
        <v>746</v>
      </c>
      <c r="D170" t="s">
        <v>577</v>
      </c>
      <c r="E170" s="106" t="str">
        <f ca="1">テーブル3[[#This Row],[学校コード]]&amp;テーブル3[[#This Row],[数字]]&amp;テーブル3[[#This Row],[記号2]]</f>
        <v>110101164M</v>
      </c>
      <c r="I170" s="106"/>
    </row>
    <row r="171" spans="1:9" x14ac:dyDescent="0.4">
      <c r="A171">
        <v>165</v>
      </c>
      <c r="B171">
        <f ca="1">設定!$A$14</f>
        <v>110101</v>
      </c>
      <c r="C171" s="98" t="s">
        <v>747</v>
      </c>
      <c r="D171" t="s">
        <v>578</v>
      </c>
      <c r="E171" s="106" t="str">
        <f ca="1">テーブル3[[#This Row],[学校コード]]&amp;テーブル3[[#This Row],[数字]]&amp;テーブル3[[#This Row],[記号2]]</f>
        <v>110101165N</v>
      </c>
      <c r="I171" s="106"/>
    </row>
    <row r="172" spans="1:9" x14ac:dyDescent="0.4">
      <c r="A172">
        <v>166</v>
      </c>
      <c r="B172">
        <f ca="1">設定!$A$14</f>
        <v>110101</v>
      </c>
      <c r="C172" s="98" t="s">
        <v>748</v>
      </c>
      <c r="D172" t="s">
        <v>579</v>
      </c>
      <c r="E172" s="106" t="str">
        <f ca="1">テーブル3[[#This Row],[学校コード]]&amp;テーブル3[[#This Row],[数字]]&amp;テーブル3[[#This Row],[記号2]]</f>
        <v>110101166R</v>
      </c>
      <c r="I172" s="106"/>
    </row>
    <row r="173" spans="1:9" x14ac:dyDescent="0.4">
      <c r="A173">
        <v>167</v>
      </c>
      <c r="B173">
        <f ca="1">設定!$A$14</f>
        <v>110101</v>
      </c>
      <c r="C173" s="98" t="s">
        <v>749</v>
      </c>
      <c r="D173" t="s">
        <v>580</v>
      </c>
      <c r="E173" s="106" t="str">
        <f ca="1">テーブル3[[#This Row],[学校コード]]&amp;テーブル3[[#This Row],[数字]]&amp;テーブル3[[#This Row],[記号2]]</f>
        <v>110101167V</v>
      </c>
      <c r="I173" s="106"/>
    </row>
    <row r="174" spans="1:9" x14ac:dyDescent="0.4">
      <c r="A174">
        <v>168</v>
      </c>
      <c r="B174">
        <f ca="1">設定!$A$14</f>
        <v>110101</v>
      </c>
      <c r="C174" s="98" t="s">
        <v>750</v>
      </c>
      <c r="D174" t="s">
        <v>581</v>
      </c>
      <c r="E174" s="106" t="str">
        <f ca="1">テーブル3[[#This Row],[学校コード]]&amp;テーブル3[[#This Row],[数字]]&amp;テーブル3[[#This Row],[記号2]]</f>
        <v>110101168X</v>
      </c>
      <c r="I174" s="106"/>
    </row>
    <row r="175" spans="1:9" x14ac:dyDescent="0.4">
      <c r="A175">
        <v>169</v>
      </c>
      <c r="B175">
        <f ca="1">設定!$A$14</f>
        <v>110101</v>
      </c>
      <c r="C175" s="98" t="s">
        <v>751</v>
      </c>
      <c r="D175" t="s">
        <v>574</v>
      </c>
      <c r="E175" s="106" t="str">
        <f ca="1">テーブル3[[#This Row],[学校コード]]&amp;テーブル3[[#This Row],[数字]]&amp;テーブル3[[#This Row],[記号2]]</f>
        <v>110101169A</v>
      </c>
      <c r="I175" s="106"/>
    </row>
    <row r="176" spans="1:9" x14ac:dyDescent="0.4">
      <c r="A176">
        <v>170</v>
      </c>
      <c r="B176">
        <f ca="1">設定!$A$14</f>
        <v>110101</v>
      </c>
      <c r="C176" s="98" t="s">
        <v>752</v>
      </c>
      <c r="D176" t="s">
        <v>575</v>
      </c>
      <c r="E176" s="106" t="str">
        <f ca="1">テーブル3[[#This Row],[学校コード]]&amp;テーブル3[[#This Row],[数字]]&amp;テーブル3[[#This Row],[記号2]]</f>
        <v>110101170H</v>
      </c>
      <c r="I176" s="106"/>
    </row>
    <row r="177" spans="1:9" x14ac:dyDescent="0.4">
      <c r="A177">
        <v>171</v>
      </c>
      <c r="B177">
        <f ca="1">設定!$A$14</f>
        <v>110101</v>
      </c>
      <c r="C177" s="98" t="s">
        <v>753</v>
      </c>
      <c r="D177" t="s">
        <v>576</v>
      </c>
      <c r="E177" s="106" t="str">
        <f ca="1">テーブル3[[#This Row],[学校コード]]&amp;テーブル3[[#This Row],[数字]]&amp;テーブル3[[#This Row],[記号2]]</f>
        <v>110101171K</v>
      </c>
      <c r="I177" s="106"/>
    </row>
    <row r="178" spans="1:9" x14ac:dyDescent="0.4">
      <c r="A178">
        <v>172</v>
      </c>
      <c r="B178">
        <f ca="1">設定!$A$14</f>
        <v>110101</v>
      </c>
      <c r="C178" s="98" t="s">
        <v>754</v>
      </c>
      <c r="D178" t="s">
        <v>577</v>
      </c>
      <c r="E178" s="106" t="str">
        <f ca="1">テーブル3[[#This Row],[学校コード]]&amp;テーブル3[[#This Row],[数字]]&amp;テーブル3[[#This Row],[記号2]]</f>
        <v>110101172M</v>
      </c>
      <c r="I178" s="106"/>
    </row>
    <row r="179" spans="1:9" x14ac:dyDescent="0.4">
      <c r="A179">
        <v>173</v>
      </c>
      <c r="B179">
        <f ca="1">設定!$A$14</f>
        <v>110101</v>
      </c>
      <c r="C179" s="98" t="s">
        <v>755</v>
      </c>
      <c r="D179" t="s">
        <v>578</v>
      </c>
      <c r="E179" s="106" t="str">
        <f ca="1">テーブル3[[#This Row],[学校コード]]&amp;テーブル3[[#This Row],[数字]]&amp;テーブル3[[#This Row],[記号2]]</f>
        <v>110101173N</v>
      </c>
      <c r="I179" s="106"/>
    </row>
    <row r="180" spans="1:9" x14ac:dyDescent="0.4">
      <c r="A180">
        <v>174</v>
      </c>
      <c r="B180">
        <f ca="1">設定!$A$14</f>
        <v>110101</v>
      </c>
      <c r="C180" s="98" t="s">
        <v>756</v>
      </c>
      <c r="D180" t="s">
        <v>579</v>
      </c>
      <c r="E180" s="106" t="str">
        <f ca="1">テーブル3[[#This Row],[学校コード]]&amp;テーブル3[[#This Row],[数字]]&amp;テーブル3[[#This Row],[記号2]]</f>
        <v>110101174R</v>
      </c>
      <c r="I180" s="106"/>
    </row>
    <row r="181" spans="1:9" x14ac:dyDescent="0.4">
      <c r="A181">
        <v>175</v>
      </c>
      <c r="B181">
        <f ca="1">設定!$A$14</f>
        <v>110101</v>
      </c>
      <c r="C181" s="98" t="s">
        <v>757</v>
      </c>
      <c r="D181" t="s">
        <v>580</v>
      </c>
      <c r="E181" s="106" t="str">
        <f ca="1">テーブル3[[#This Row],[学校コード]]&amp;テーブル3[[#This Row],[数字]]&amp;テーブル3[[#This Row],[記号2]]</f>
        <v>110101175V</v>
      </c>
      <c r="I181" s="106"/>
    </row>
    <row r="182" spans="1:9" x14ac:dyDescent="0.4">
      <c r="A182">
        <v>176</v>
      </c>
      <c r="B182">
        <f ca="1">設定!$A$14</f>
        <v>110101</v>
      </c>
      <c r="C182" s="98" t="s">
        <v>758</v>
      </c>
      <c r="D182" t="s">
        <v>581</v>
      </c>
      <c r="E182" s="106" t="str">
        <f ca="1">テーブル3[[#This Row],[学校コード]]&amp;テーブル3[[#This Row],[数字]]&amp;テーブル3[[#This Row],[記号2]]</f>
        <v>110101176X</v>
      </c>
      <c r="I182" s="106"/>
    </row>
    <row r="183" spans="1:9" x14ac:dyDescent="0.4">
      <c r="A183">
        <v>177</v>
      </c>
      <c r="B183">
        <f ca="1">設定!$A$14</f>
        <v>110101</v>
      </c>
      <c r="C183" s="98" t="s">
        <v>759</v>
      </c>
      <c r="D183" t="s">
        <v>574</v>
      </c>
      <c r="E183" s="106" t="str">
        <f ca="1">テーブル3[[#This Row],[学校コード]]&amp;テーブル3[[#This Row],[数字]]&amp;テーブル3[[#This Row],[記号2]]</f>
        <v>110101177A</v>
      </c>
      <c r="I183" s="106"/>
    </row>
    <row r="184" spans="1:9" x14ac:dyDescent="0.4">
      <c r="A184">
        <v>178</v>
      </c>
      <c r="B184">
        <f ca="1">設定!$A$14</f>
        <v>110101</v>
      </c>
      <c r="C184" s="98" t="s">
        <v>760</v>
      </c>
      <c r="D184" t="s">
        <v>575</v>
      </c>
      <c r="E184" s="106" t="str">
        <f ca="1">テーブル3[[#This Row],[学校コード]]&amp;テーブル3[[#This Row],[数字]]&amp;テーブル3[[#This Row],[記号2]]</f>
        <v>110101178H</v>
      </c>
      <c r="I184" s="106"/>
    </row>
    <row r="185" spans="1:9" x14ac:dyDescent="0.4">
      <c r="A185">
        <v>179</v>
      </c>
      <c r="B185">
        <f ca="1">設定!$A$14</f>
        <v>110101</v>
      </c>
      <c r="C185" s="98" t="s">
        <v>761</v>
      </c>
      <c r="D185" t="s">
        <v>576</v>
      </c>
      <c r="E185" s="106" t="str">
        <f ca="1">テーブル3[[#This Row],[学校コード]]&amp;テーブル3[[#This Row],[数字]]&amp;テーブル3[[#This Row],[記号2]]</f>
        <v>110101179K</v>
      </c>
      <c r="I185" s="106"/>
    </row>
    <row r="186" spans="1:9" x14ac:dyDescent="0.4">
      <c r="A186">
        <v>180</v>
      </c>
      <c r="B186">
        <f ca="1">設定!$A$14</f>
        <v>110101</v>
      </c>
      <c r="C186" s="98" t="s">
        <v>762</v>
      </c>
      <c r="D186" t="s">
        <v>577</v>
      </c>
      <c r="E186" s="106" t="str">
        <f ca="1">テーブル3[[#This Row],[学校コード]]&amp;テーブル3[[#This Row],[数字]]&amp;テーブル3[[#This Row],[記号2]]</f>
        <v>110101180M</v>
      </c>
      <c r="I186" s="106"/>
    </row>
    <row r="187" spans="1:9" x14ac:dyDescent="0.4">
      <c r="A187">
        <v>181</v>
      </c>
      <c r="B187">
        <f ca="1">設定!$A$14</f>
        <v>110101</v>
      </c>
      <c r="C187" s="98" t="s">
        <v>763</v>
      </c>
      <c r="D187" t="s">
        <v>578</v>
      </c>
      <c r="E187" s="106" t="str">
        <f ca="1">テーブル3[[#This Row],[学校コード]]&amp;テーブル3[[#This Row],[数字]]&amp;テーブル3[[#This Row],[記号2]]</f>
        <v>110101181N</v>
      </c>
      <c r="I187" s="106"/>
    </row>
    <row r="188" spans="1:9" x14ac:dyDescent="0.4">
      <c r="A188">
        <v>182</v>
      </c>
      <c r="B188">
        <f ca="1">設定!$A$14</f>
        <v>110101</v>
      </c>
      <c r="C188" s="98" t="s">
        <v>764</v>
      </c>
      <c r="D188" t="s">
        <v>579</v>
      </c>
      <c r="E188" s="106" t="str">
        <f ca="1">テーブル3[[#This Row],[学校コード]]&amp;テーブル3[[#This Row],[数字]]&amp;テーブル3[[#This Row],[記号2]]</f>
        <v>110101182R</v>
      </c>
      <c r="I188" s="106"/>
    </row>
    <row r="189" spans="1:9" x14ac:dyDescent="0.4">
      <c r="A189">
        <v>183</v>
      </c>
      <c r="B189">
        <f ca="1">設定!$A$14</f>
        <v>110101</v>
      </c>
      <c r="C189" s="98" t="s">
        <v>765</v>
      </c>
      <c r="D189" t="s">
        <v>580</v>
      </c>
      <c r="E189" s="106" t="str">
        <f ca="1">テーブル3[[#This Row],[学校コード]]&amp;テーブル3[[#This Row],[数字]]&amp;テーブル3[[#This Row],[記号2]]</f>
        <v>110101183V</v>
      </c>
      <c r="I189" s="106"/>
    </row>
    <row r="190" spans="1:9" x14ac:dyDescent="0.4">
      <c r="A190">
        <v>184</v>
      </c>
      <c r="B190">
        <f ca="1">設定!$A$14</f>
        <v>110101</v>
      </c>
      <c r="C190" s="98" t="s">
        <v>766</v>
      </c>
      <c r="D190" t="s">
        <v>581</v>
      </c>
      <c r="E190" s="106" t="str">
        <f ca="1">テーブル3[[#This Row],[学校コード]]&amp;テーブル3[[#This Row],[数字]]&amp;テーブル3[[#This Row],[記号2]]</f>
        <v>110101184X</v>
      </c>
      <c r="I190" s="106"/>
    </row>
    <row r="191" spans="1:9" x14ac:dyDescent="0.4">
      <c r="A191">
        <v>185</v>
      </c>
      <c r="B191">
        <f ca="1">設定!$A$14</f>
        <v>110101</v>
      </c>
      <c r="C191" s="98" t="s">
        <v>767</v>
      </c>
      <c r="D191" t="s">
        <v>574</v>
      </c>
      <c r="E191" s="106" t="str">
        <f ca="1">テーブル3[[#This Row],[学校コード]]&amp;テーブル3[[#This Row],[数字]]&amp;テーブル3[[#This Row],[記号2]]</f>
        <v>110101185A</v>
      </c>
      <c r="I191" s="106"/>
    </row>
    <row r="192" spans="1:9" x14ac:dyDescent="0.4">
      <c r="A192">
        <v>186</v>
      </c>
      <c r="B192">
        <f ca="1">設定!$A$14</f>
        <v>110101</v>
      </c>
      <c r="C192" s="98" t="s">
        <v>768</v>
      </c>
      <c r="D192" t="s">
        <v>575</v>
      </c>
      <c r="E192" s="106" t="str">
        <f ca="1">テーブル3[[#This Row],[学校コード]]&amp;テーブル3[[#This Row],[数字]]&amp;テーブル3[[#This Row],[記号2]]</f>
        <v>110101186H</v>
      </c>
      <c r="I192" s="106"/>
    </row>
    <row r="193" spans="1:9" x14ac:dyDescent="0.4">
      <c r="A193">
        <v>187</v>
      </c>
      <c r="B193">
        <f ca="1">設定!$A$14</f>
        <v>110101</v>
      </c>
      <c r="C193" s="98" t="s">
        <v>769</v>
      </c>
      <c r="D193" t="s">
        <v>576</v>
      </c>
      <c r="E193" s="106" t="str">
        <f ca="1">テーブル3[[#This Row],[学校コード]]&amp;テーブル3[[#This Row],[数字]]&amp;テーブル3[[#This Row],[記号2]]</f>
        <v>110101187K</v>
      </c>
      <c r="I193" s="106"/>
    </row>
    <row r="194" spans="1:9" x14ac:dyDescent="0.4">
      <c r="A194">
        <v>188</v>
      </c>
      <c r="B194">
        <f ca="1">設定!$A$14</f>
        <v>110101</v>
      </c>
      <c r="C194" s="98" t="s">
        <v>770</v>
      </c>
      <c r="D194" t="s">
        <v>577</v>
      </c>
      <c r="E194" s="106" t="str">
        <f ca="1">テーブル3[[#This Row],[学校コード]]&amp;テーブル3[[#This Row],[数字]]&amp;テーブル3[[#This Row],[記号2]]</f>
        <v>110101188M</v>
      </c>
      <c r="I194" s="106"/>
    </row>
    <row r="195" spans="1:9" x14ac:dyDescent="0.4">
      <c r="A195">
        <v>189</v>
      </c>
      <c r="B195">
        <f ca="1">設定!$A$14</f>
        <v>110101</v>
      </c>
      <c r="C195" s="98" t="s">
        <v>771</v>
      </c>
      <c r="D195" t="s">
        <v>578</v>
      </c>
      <c r="E195" s="106" t="str">
        <f ca="1">テーブル3[[#This Row],[学校コード]]&amp;テーブル3[[#This Row],[数字]]&amp;テーブル3[[#This Row],[記号2]]</f>
        <v>110101189N</v>
      </c>
      <c r="I195" s="106"/>
    </row>
    <row r="196" spans="1:9" x14ac:dyDescent="0.4">
      <c r="A196">
        <v>190</v>
      </c>
      <c r="B196">
        <f ca="1">設定!$A$14</f>
        <v>110101</v>
      </c>
      <c r="C196" s="98" t="s">
        <v>772</v>
      </c>
      <c r="D196" t="s">
        <v>579</v>
      </c>
      <c r="E196" s="106" t="str">
        <f ca="1">テーブル3[[#This Row],[学校コード]]&amp;テーブル3[[#This Row],[数字]]&amp;テーブル3[[#This Row],[記号2]]</f>
        <v>110101190R</v>
      </c>
      <c r="I196" s="106"/>
    </row>
    <row r="197" spans="1:9" x14ac:dyDescent="0.4">
      <c r="A197">
        <v>191</v>
      </c>
      <c r="B197">
        <f ca="1">設定!$A$14</f>
        <v>110101</v>
      </c>
      <c r="C197" s="98" t="s">
        <v>773</v>
      </c>
      <c r="D197" t="s">
        <v>580</v>
      </c>
      <c r="E197" s="106" t="str">
        <f ca="1">テーブル3[[#This Row],[学校コード]]&amp;テーブル3[[#This Row],[数字]]&amp;テーブル3[[#This Row],[記号2]]</f>
        <v>110101191V</v>
      </c>
      <c r="I197" s="106"/>
    </row>
    <row r="198" spans="1:9" x14ac:dyDescent="0.4">
      <c r="A198">
        <v>192</v>
      </c>
      <c r="B198">
        <f ca="1">設定!$A$14</f>
        <v>110101</v>
      </c>
      <c r="C198" s="98" t="s">
        <v>774</v>
      </c>
      <c r="D198" t="s">
        <v>581</v>
      </c>
      <c r="E198" s="106" t="str">
        <f ca="1">テーブル3[[#This Row],[学校コード]]&amp;テーブル3[[#This Row],[数字]]&amp;テーブル3[[#This Row],[記号2]]</f>
        <v>110101192X</v>
      </c>
      <c r="I198" s="106"/>
    </row>
    <row r="199" spans="1:9" x14ac:dyDescent="0.4">
      <c r="A199">
        <v>193</v>
      </c>
      <c r="B199">
        <f ca="1">設定!$A$14</f>
        <v>110101</v>
      </c>
      <c r="C199" s="98" t="s">
        <v>775</v>
      </c>
      <c r="D199" t="s">
        <v>574</v>
      </c>
      <c r="E199" s="106" t="str">
        <f ca="1">テーブル3[[#This Row],[学校コード]]&amp;テーブル3[[#This Row],[数字]]&amp;テーブル3[[#This Row],[記号2]]</f>
        <v>110101193A</v>
      </c>
      <c r="I199" s="106"/>
    </row>
    <row r="200" spans="1:9" x14ac:dyDescent="0.4">
      <c r="A200">
        <v>194</v>
      </c>
      <c r="B200">
        <f ca="1">設定!$A$14</f>
        <v>110101</v>
      </c>
      <c r="C200" s="98" t="s">
        <v>776</v>
      </c>
      <c r="D200" t="s">
        <v>575</v>
      </c>
      <c r="E200" s="106" t="str">
        <f ca="1">テーブル3[[#This Row],[学校コード]]&amp;テーブル3[[#This Row],[数字]]&amp;テーブル3[[#This Row],[記号2]]</f>
        <v>110101194H</v>
      </c>
      <c r="I200" s="106"/>
    </row>
    <row r="201" spans="1:9" x14ac:dyDescent="0.4">
      <c r="A201">
        <v>195</v>
      </c>
      <c r="B201">
        <f ca="1">設定!$A$14</f>
        <v>110101</v>
      </c>
      <c r="C201" s="98" t="s">
        <v>777</v>
      </c>
      <c r="D201" t="s">
        <v>576</v>
      </c>
      <c r="E201" s="106" t="str">
        <f ca="1">テーブル3[[#This Row],[学校コード]]&amp;テーブル3[[#This Row],[数字]]&amp;テーブル3[[#This Row],[記号2]]</f>
        <v>110101195K</v>
      </c>
      <c r="I201" s="106"/>
    </row>
    <row r="202" spans="1:9" x14ac:dyDescent="0.4">
      <c r="A202">
        <v>196</v>
      </c>
      <c r="B202">
        <f ca="1">設定!$A$14</f>
        <v>110101</v>
      </c>
      <c r="C202" s="98" t="s">
        <v>778</v>
      </c>
      <c r="D202" t="s">
        <v>577</v>
      </c>
      <c r="E202" s="106" t="str">
        <f ca="1">テーブル3[[#This Row],[学校コード]]&amp;テーブル3[[#This Row],[数字]]&amp;テーブル3[[#This Row],[記号2]]</f>
        <v>110101196M</v>
      </c>
      <c r="I202" s="106"/>
    </row>
    <row r="203" spans="1:9" x14ac:dyDescent="0.4">
      <c r="A203">
        <v>197</v>
      </c>
      <c r="B203">
        <f ca="1">設定!$A$14</f>
        <v>110101</v>
      </c>
      <c r="C203" s="98" t="s">
        <v>779</v>
      </c>
      <c r="D203" t="s">
        <v>578</v>
      </c>
      <c r="E203" s="106" t="str">
        <f ca="1">テーブル3[[#This Row],[学校コード]]&amp;テーブル3[[#This Row],[数字]]&amp;テーブル3[[#This Row],[記号2]]</f>
        <v>110101197N</v>
      </c>
      <c r="I203" s="106"/>
    </row>
    <row r="204" spans="1:9" x14ac:dyDescent="0.4">
      <c r="A204">
        <v>198</v>
      </c>
      <c r="B204">
        <f ca="1">設定!$A$14</f>
        <v>110101</v>
      </c>
      <c r="C204" s="98" t="s">
        <v>780</v>
      </c>
      <c r="D204" t="s">
        <v>579</v>
      </c>
      <c r="E204" s="106" t="str">
        <f ca="1">テーブル3[[#This Row],[学校コード]]&amp;テーブル3[[#This Row],[数字]]&amp;テーブル3[[#This Row],[記号2]]</f>
        <v>110101198R</v>
      </c>
      <c r="I204" s="106"/>
    </row>
    <row r="205" spans="1:9" x14ac:dyDescent="0.4">
      <c r="A205">
        <v>199</v>
      </c>
      <c r="B205">
        <f ca="1">設定!$A$14</f>
        <v>110101</v>
      </c>
      <c r="C205" s="98" t="s">
        <v>781</v>
      </c>
      <c r="D205" t="s">
        <v>580</v>
      </c>
      <c r="E205" s="106" t="str">
        <f ca="1">テーブル3[[#This Row],[学校コード]]&amp;テーブル3[[#This Row],[数字]]&amp;テーブル3[[#This Row],[記号2]]</f>
        <v>110101199V</v>
      </c>
      <c r="I205" s="106"/>
    </row>
    <row r="206" spans="1:9" x14ac:dyDescent="0.4">
      <c r="A206">
        <v>200</v>
      </c>
      <c r="B206">
        <f ca="1">設定!$A$14</f>
        <v>110101</v>
      </c>
      <c r="C206" s="98" t="s">
        <v>782</v>
      </c>
      <c r="D206" t="s">
        <v>581</v>
      </c>
      <c r="E206" s="106" t="str">
        <f ca="1">テーブル3[[#This Row],[学校コード]]&amp;テーブル3[[#This Row],[数字]]&amp;テーブル3[[#This Row],[記号2]]</f>
        <v>110101200X</v>
      </c>
      <c r="I206" s="106"/>
    </row>
    <row r="207" spans="1:9" x14ac:dyDescent="0.4">
      <c r="A207">
        <v>201</v>
      </c>
      <c r="B207">
        <f ca="1">設定!$A$14</f>
        <v>110101</v>
      </c>
      <c r="C207" s="98" t="s">
        <v>783</v>
      </c>
      <c r="D207" t="s">
        <v>574</v>
      </c>
      <c r="E207" s="106" t="str">
        <f ca="1">テーブル3[[#This Row],[学校コード]]&amp;テーブル3[[#This Row],[数字]]&amp;テーブル3[[#This Row],[記号2]]</f>
        <v>110101201A</v>
      </c>
      <c r="I207" s="106"/>
    </row>
    <row r="208" spans="1:9" x14ac:dyDescent="0.4">
      <c r="A208">
        <v>202</v>
      </c>
      <c r="B208">
        <f ca="1">設定!$A$14</f>
        <v>110101</v>
      </c>
      <c r="C208" s="98" t="s">
        <v>784</v>
      </c>
      <c r="D208" t="s">
        <v>575</v>
      </c>
      <c r="E208" s="106" t="str">
        <f ca="1">テーブル3[[#This Row],[学校コード]]&amp;テーブル3[[#This Row],[数字]]&amp;テーブル3[[#This Row],[記号2]]</f>
        <v>110101202H</v>
      </c>
      <c r="I208" s="106"/>
    </row>
    <row r="209" spans="1:9" x14ac:dyDescent="0.4">
      <c r="A209">
        <v>203</v>
      </c>
      <c r="B209">
        <f ca="1">設定!$A$14</f>
        <v>110101</v>
      </c>
      <c r="C209" s="98" t="s">
        <v>785</v>
      </c>
      <c r="D209" t="s">
        <v>576</v>
      </c>
      <c r="E209" s="106" t="str">
        <f ca="1">テーブル3[[#This Row],[学校コード]]&amp;テーブル3[[#This Row],[数字]]&amp;テーブル3[[#This Row],[記号2]]</f>
        <v>110101203K</v>
      </c>
      <c r="I209" s="106"/>
    </row>
    <row r="210" spans="1:9" x14ac:dyDescent="0.4">
      <c r="A210">
        <v>204</v>
      </c>
      <c r="B210">
        <f ca="1">設定!$A$14</f>
        <v>110101</v>
      </c>
      <c r="C210" s="98" t="s">
        <v>786</v>
      </c>
      <c r="D210" t="s">
        <v>577</v>
      </c>
      <c r="E210" s="106" t="str">
        <f ca="1">テーブル3[[#This Row],[学校コード]]&amp;テーブル3[[#This Row],[数字]]&amp;テーブル3[[#This Row],[記号2]]</f>
        <v>110101204M</v>
      </c>
      <c r="I210" s="106"/>
    </row>
    <row r="211" spans="1:9" x14ac:dyDescent="0.4">
      <c r="A211">
        <v>205</v>
      </c>
      <c r="B211">
        <f ca="1">設定!$A$14</f>
        <v>110101</v>
      </c>
      <c r="C211" s="98" t="s">
        <v>787</v>
      </c>
      <c r="D211" t="s">
        <v>578</v>
      </c>
      <c r="E211" s="106" t="str">
        <f ca="1">テーブル3[[#This Row],[学校コード]]&amp;テーブル3[[#This Row],[数字]]&amp;テーブル3[[#This Row],[記号2]]</f>
        <v>110101205N</v>
      </c>
      <c r="I211" s="106"/>
    </row>
    <row r="212" spans="1:9" x14ac:dyDescent="0.4">
      <c r="A212">
        <v>206</v>
      </c>
      <c r="B212">
        <f ca="1">設定!$A$14</f>
        <v>110101</v>
      </c>
      <c r="C212" s="98" t="s">
        <v>788</v>
      </c>
      <c r="D212" t="s">
        <v>579</v>
      </c>
      <c r="E212" s="106" t="str">
        <f ca="1">テーブル3[[#This Row],[学校コード]]&amp;テーブル3[[#This Row],[数字]]&amp;テーブル3[[#This Row],[記号2]]</f>
        <v>110101206R</v>
      </c>
      <c r="I212" s="106"/>
    </row>
    <row r="213" spans="1:9" x14ac:dyDescent="0.4">
      <c r="A213">
        <v>207</v>
      </c>
      <c r="B213">
        <f ca="1">設定!$A$14</f>
        <v>110101</v>
      </c>
      <c r="C213" s="98" t="s">
        <v>789</v>
      </c>
      <c r="D213" t="s">
        <v>580</v>
      </c>
      <c r="E213" s="106" t="str">
        <f ca="1">テーブル3[[#This Row],[学校コード]]&amp;テーブル3[[#This Row],[数字]]&amp;テーブル3[[#This Row],[記号2]]</f>
        <v>110101207V</v>
      </c>
      <c r="I213" s="106"/>
    </row>
    <row r="214" spans="1:9" x14ac:dyDescent="0.4">
      <c r="A214">
        <v>208</v>
      </c>
      <c r="B214">
        <f ca="1">設定!$A$14</f>
        <v>110101</v>
      </c>
      <c r="C214" s="98" t="s">
        <v>790</v>
      </c>
      <c r="D214" t="s">
        <v>581</v>
      </c>
      <c r="E214" s="106" t="str">
        <f ca="1">テーブル3[[#This Row],[学校コード]]&amp;テーブル3[[#This Row],[数字]]&amp;テーブル3[[#This Row],[記号2]]</f>
        <v>110101208X</v>
      </c>
      <c r="I214" s="106"/>
    </row>
    <row r="215" spans="1:9" x14ac:dyDescent="0.4">
      <c r="A215">
        <v>209</v>
      </c>
      <c r="B215">
        <f ca="1">設定!$A$14</f>
        <v>110101</v>
      </c>
      <c r="C215" s="98" t="s">
        <v>791</v>
      </c>
      <c r="D215" t="s">
        <v>574</v>
      </c>
      <c r="E215" s="106" t="str">
        <f ca="1">テーブル3[[#This Row],[学校コード]]&amp;テーブル3[[#This Row],[数字]]&amp;テーブル3[[#This Row],[記号2]]</f>
        <v>110101209A</v>
      </c>
      <c r="I215" s="106"/>
    </row>
    <row r="216" spans="1:9" x14ac:dyDescent="0.4">
      <c r="A216">
        <v>210</v>
      </c>
      <c r="B216">
        <f ca="1">設定!$A$14</f>
        <v>110101</v>
      </c>
      <c r="C216" s="98" t="s">
        <v>792</v>
      </c>
      <c r="D216" t="s">
        <v>575</v>
      </c>
      <c r="E216" s="106" t="str">
        <f ca="1">テーブル3[[#This Row],[学校コード]]&amp;テーブル3[[#This Row],[数字]]&amp;テーブル3[[#This Row],[記号2]]</f>
        <v>110101210H</v>
      </c>
      <c r="I216" s="106"/>
    </row>
    <row r="217" spans="1:9" x14ac:dyDescent="0.4">
      <c r="A217">
        <v>211</v>
      </c>
      <c r="B217">
        <f ca="1">設定!$A$14</f>
        <v>110101</v>
      </c>
      <c r="C217" s="98" t="s">
        <v>793</v>
      </c>
      <c r="D217" t="s">
        <v>576</v>
      </c>
      <c r="E217" s="106" t="str">
        <f ca="1">テーブル3[[#This Row],[学校コード]]&amp;テーブル3[[#This Row],[数字]]&amp;テーブル3[[#This Row],[記号2]]</f>
        <v>110101211K</v>
      </c>
      <c r="I217" s="106"/>
    </row>
    <row r="218" spans="1:9" x14ac:dyDescent="0.4">
      <c r="A218">
        <v>212</v>
      </c>
      <c r="B218">
        <f ca="1">設定!$A$14</f>
        <v>110101</v>
      </c>
      <c r="C218" s="98" t="s">
        <v>794</v>
      </c>
      <c r="D218" t="s">
        <v>577</v>
      </c>
      <c r="E218" s="106" t="str">
        <f ca="1">テーブル3[[#This Row],[学校コード]]&amp;テーブル3[[#This Row],[数字]]&amp;テーブル3[[#This Row],[記号2]]</f>
        <v>110101212M</v>
      </c>
      <c r="I218" s="106"/>
    </row>
    <row r="219" spans="1:9" x14ac:dyDescent="0.4">
      <c r="A219">
        <v>213</v>
      </c>
      <c r="B219">
        <f ca="1">設定!$A$14</f>
        <v>110101</v>
      </c>
      <c r="C219" s="98" t="s">
        <v>795</v>
      </c>
      <c r="D219" t="s">
        <v>578</v>
      </c>
      <c r="E219" s="106" t="str">
        <f ca="1">テーブル3[[#This Row],[学校コード]]&amp;テーブル3[[#This Row],[数字]]&amp;テーブル3[[#This Row],[記号2]]</f>
        <v>110101213N</v>
      </c>
      <c r="I219" s="106"/>
    </row>
    <row r="220" spans="1:9" x14ac:dyDescent="0.4">
      <c r="A220">
        <v>214</v>
      </c>
      <c r="B220">
        <f ca="1">設定!$A$14</f>
        <v>110101</v>
      </c>
      <c r="C220" s="98" t="s">
        <v>796</v>
      </c>
      <c r="D220" t="s">
        <v>579</v>
      </c>
      <c r="E220" s="106" t="str">
        <f ca="1">テーブル3[[#This Row],[学校コード]]&amp;テーブル3[[#This Row],[数字]]&amp;テーブル3[[#This Row],[記号2]]</f>
        <v>110101214R</v>
      </c>
      <c r="I220" s="106"/>
    </row>
    <row r="221" spans="1:9" x14ac:dyDescent="0.4">
      <c r="A221">
        <v>215</v>
      </c>
      <c r="B221">
        <f ca="1">設定!$A$14</f>
        <v>110101</v>
      </c>
      <c r="C221" s="98" t="s">
        <v>797</v>
      </c>
      <c r="D221" t="s">
        <v>580</v>
      </c>
      <c r="E221" s="106" t="str">
        <f ca="1">テーブル3[[#This Row],[学校コード]]&amp;テーブル3[[#This Row],[数字]]&amp;テーブル3[[#This Row],[記号2]]</f>
        <v>110101215V</v>
      </c>
      <c r="I221" s="106"/>
    </row>
    <row r="222" spans="1:9" x14ac:dyDescent="0.4">
      <c r="A222">
        <v>216</v>
      </c>
      <c r="B222">
        <f ca="1">設定!$A$14</f>
        <v>110101</v>
      </c>
      <c r="C222" s="98" t="s">
        <v>798</v>
      </c>
      <c r="D222" t="s">
        <v>581</v>
      </c>
      <c r="E222" s="106" t="str">
        <f ca="1">テーブル3[[#This Row],[学校コード]]&amp;テーブル3[[#This Row],[数字]]&amp;テーブル3[[#This Row],[記号2]]</f>
        <v>110101216X</v>
      </c>
      <c r="I222" s="106"/>
    </row>
    <row r="223" spans="1:9" x14ac:dyDescent="0.4">
      <c r="A223">
        <v>217</v>
      </c>
      <c r="B223">
        <f ca="1">設定!$A$14</f>
        <v>110101</v>
      </c>
      <c r="C223" s="98" t="s">
        <v>799</v>
      </c>
      <c r="D223" t="s">
        <v>574</v>
      </c>
      <c r="E223" s="106" t="str">
        <f ca="1">テーブル3[[#This Row],[学校コード]]&amp;テーブル3[[#This Row],[数字]]&amp;テーブル3[[#This Row],[記号2]]</f>
        <v>110101217A</v>
      </c>
      <c r="I223" s="106"/>
    </row>
    <row r="224" spans="1:9" x14ac:dyDescent="0.4">
      <c r="A224">
        <v>218</v>
      </c>
      <c r="B224">
        <f ca="1">設定!$A$14</f>
        <v>110101</v>
      </c>
      <c r="C224" s="98" t="s">
        <v>800</v>
      </c>
      <c r="D224" t="s">
        <v>575</v>
      </c>
      <c r="E224" s="106" t="str">
        <f ca="1">テーブル3[[#This Row],[学校コード]]&amp;テーブル3[[#This Row],[数字]]&amp;テーブル3[[#This Row],[記号2]]</f>
        <v>110101218H</v>
      </c>
      <c r="I224" s="106"/>
    </row>
    <row r="225" spans="1:9" x14ac:dyDescent="0.4">
      <c r="A225">
        <v>219</v>
      </c>
      <c r="B225">
        <f ca="1">設定!$A$14</f>
        <v>110101</v>
      </c>
      <c r="C225" s="98" t="s">
        <v>801</v>
      </c>
      <c r="D225" t="s">
        <v>576</v>
      </c>
      <c r="E225" s="106" t="str">
        <f ca="1">テーブル3[[#This Row],[学校コード]]&amp;テーブル3[[#This Row],[数字]]&amp;テーブル3[[#This Row],[記号2]]</f>
        <v>110101219K</v>
      </c>
      <c r="I225" s="106"/>
    </row>
    <row r="226" spans="1:9" x14ac:dyDescent="0.4">
      <c r="A226">
        <v>220</v>
      </c>
      <c r="B226">
        <f ca="1">設定!$A$14</f>
        <v>110101</v>
      </c>
      <c r="C226" s="98" t="s">
        <v>802</v>
      </c>
      <c r="D226" t="s">
        <v>577</v>
      </c>
      <c r="E226" s="106" t="str">
        <f ca="1">テーブル3[[#This Row],[学校コード]]&amp;テーブル3[[#This Row],[数字]]&amp;テーブル3[[#This Row],[記号2]]</f>
        <v>110101220M</v>
      </c>
      <c r="I226" s="106"/>
    </row>
    <row r="227" spans="1:9" x14ac:dyDescent="0.4">
      <c r="A227">
        <v>221</v>
      </c>
      <c r="B227">
        <f ca="1">設定!$A$14</f>
        <v>110101</v>
      </c>
      <c r="C227" s="98" t="s">
        <v>803</v>
      </c>
      <c r="D227" t="s">
        <v>578</v>
      </c>
      <c r="E227" s="106" t="str">
        <f ca="1">テーブル3[[#This Row],[学校コード]]&amp;テーブル3[[#This Row],[数字]]&amp;テーブル3[[#This Row],[記号2]]</f>
        <v>110101221N</v>
      </c>
      <c r="I227" s="106"/>
    </row>
    <row r="228" spans="1:9" x14ac:dyDescent="0.4">
      <c r="A228">
        <v>222</v>
      </c>
      <c r="B228">
        <f ca="1">設定!$A$14</f>
        <v>110101</v>
      </c>
      <c r="C228" s="98" t="s">
        <v>804</v>
      </c>
      <c r="D228" t="s">
        <v>579</v>
      </c>
      <c r="E228" s="106" t="str">
        <f ca="1">テーブル3[[#This Row],[学校コード]]&amp;テーブル3[[#This Row],[数字]]&amp;テーブル3[[#This Row],[記号2]]</f>
        <v>110101222R</v>
      </c>
      <c r="I228" s="106"/>
    </row>
    <row r="229" spans="1:9" x14ac:dyDescent="0.4">
      <c r="A229">
        <v>223</v>
      </c>
      <c r="B229">
        <f ca="1">設定!$A$14</f>
        <v>110101</v>
      </c>
      <c r="C229" s="98" t="s">
        <v>805</v>
      </c>
      <c r="D229" t="s">
        <v>580</v>
      </c>
      <c r="E229" s="106" t="str">
        <f ca="1">テーブル3[[#This Row],[学校コード]]&amp;テーブル3[[#This Row],[数字]]&amp;テーブル3[[#This Row],[記号2]]</f>
        <v>110101223V</v>
      </c>
      <c r="I229" s="106"/>
    </row>
    <row r="230" spans="1:9" x14ac:dyDescent="0.4">
      <c r="A230">
        <v>224</v>
      </c>
      <c r="B230">
        <f ca="1">設定!$A$14</f>
        <v>110101</v>
      </c>
      <c r="C230" s="98" t="s">
        <v>806</v>
      </c>
      <c r="D230" t="s">
        <v>581</v>
      </c>
      <c r="E230" s="106" t="str">
        <f ca="1">テーブル3[[#This Row],[学校コード]]&amp;テーブル3[[#This Row],[数字]]&amp;テーブル3[[#This Row],[記号2]]</f>
        <v>110101224X</v>
      </c>
      <c r="I230" s="106"/>
    </row>
    <row r="231" spans="1:9" x14ac:dyDescent="0.4">
      <c r="A231">
        <v>225</v>
      </c>
      <c r="B231">
        <f ca="1">設定!$A$14</f>
        <v>110101</v>
      </c>
      <c r="C231" s="98" t="s">
        <v>807</v>
      </c>
      <c r="D231" t="s">
        <v>574</v>
      </c>
      <c r="E231" s="106" t="str">
        <f ca="1">テーブル3[[#This Row],[学校コード]]&amp;テーブル3[[#This Row],[数字]]&amp;テーブル3[[#This Row],[記号2]]</f>
        <v>110101225A</v>
      </c>
      <c r="I231" s="106"/>
    </row>
    <row r="232" spans="1:9" x14ac:dyDescent="0.4">
      <c r="A232">
        <v>226</v>
      </c>
      <c r="B232">
        <f ca="1">設定!$A$14</f>
        <v>110101</v>
      </c>
      <c r="C232" s="98" t="s">
        <v>808</v>
      </c>
      <c r="D232" t="s">
        <v>575</v>
      </c>
      <c r="E232" s="106" t="str">
        <f ca="1">テーブル3[[#This Row],[学校コード]]&amp;テーブル3[[#This Row],[数字]]&amp;テーブル3[[#This Row],[記号2]]</f>
        <v>110101226H</v>
      </c>
      <c r="I232" s="106"/>
    </row>
    <row r="233" spans="1:9" x14ac:dyDescent="0.4">
      <c r="A233">
        <v>227</v>
      </c>
      <c r="B233">
        <f ca="1">設定!$A$14</f>
        <v>110101</v>
      </c>
      <c r="C233" s="98" t="s">
        <v>809</v>
      </c>
      <c r="D233" t="s">
        <v>576</v>
      </c>
      <c r="E233" s="106" t="str">
        <f ca="1">テーブル3[[#This Row],[学校コード]]&amp;テーブル3[[#This Row],[数字]]&amp;テーブル3[[#This Row],[記号2]]</f>
        <v>110101227K</v>
      </c>
      <c r="I233" s="106"/>
    </row>
    <row r="234" spans="1:9" x14ac:dyDescent="0.4">
      <c r="A234">
        <v>228</v>
      </c>
      <c r="B234">
        <f ca="1">設定!$A$14</f>
        <v>110101</v>
      </c>
      <c r="C234" s="98" t="s">
        <v>810</v>
      </c>
      <c r="D234" t="s">
        <v>577</v>
      </c>
      <c r="E234" s="106" t="str">
        <f ca="1">テーブル3[[#This Row],[学校コード]]&amp;テーブル3[[#This Row],[数字]]&amp;テーブル3[[#This Row],[記号2]]</f>
        <v>110101228M</v>
      </c>
      <c r="I234" s="106"/>
    </row>
    <row r="235" spans="1:9" x14ac:dyDescent="0.4">
      <c r="A235">
        <v>229</v>
      </c>
      <c r="B235">
        <f ca="1">設定!$A$14</f>
        <v>110101</v>
      </c>
      <c r="C235" s="98" t="s">
        <v>811</v>
      </c>
      <c r="D235" t="s">
        <v>578</v>
      </c>
      <c r="E235" s="106" t="str">
        <f ca="1">テーブル3[[#This Row],[学校コード]]&amp;テーブル3[[#This Row],[数字]]&amp;テーブル3[[#This Row],[記号2]]</f>
        <v>110101229N</v>
      </c>
      <c r="I235" s="106"/>
    </row>
    <row r="236" spans="1:9" x14ac:dyDescent="0.4">
      <c r="A236">
        <v>230</v>
      </c>
      <c r="B236">
        <f ca="1">設定!$A$14</f>
        <v>110101</v>
      </c>
      <c r="C236" s="98" t="s">
        <v>812</v>
      </c>
      <c r="D236" t="s">
        <v>579</v>
      </c>
      <c r="E236" s="106" t="str">
        <f ca="1">テーブル3[[#This Row],[学校コード]]&amp;テーブル3[[#This Row],[数字]]&amp;テーブル3[[#This Row],[記号2]]</f>
        <v>110101230R</v>
      </c>
      <c r="I236" s="106"/>
    </row>
    <row r="237" spans="1:9" x14ac:dyDescent="0.4">
      <c r="A237">
        <v>231</v>
      </c>
      <c r="B237">
        <f ca="1">設定!$A$14</f>
        <v>110101</v>
      </c>
      <c r="C237" s="98" t="s">
        <v>813</v>
      </c>
      <c r="D237" t="s">
        <v>580</v>
      </c>
      <c r="E237" s="106" t="str">
        <f ca="1">テーブル3[[#This Row],[学校コード]]&amp;テーブル3[[#This Row],[数字]]&amp;テーブル3[[#This Row],[記号2]]</f>
        <v>110101231V</v>
      </c>
      <c r="I237" s="106"/>
    </row>
    <row r="238" spans="1:9" x14ac:dyDescent="0.4">
      <c r="A238">
        <v>232</v>
      </c>
      <c r="B238">
        <f ca="1">設定!$A$14</f>
        <v>110101</v>
      </c>
      <c r="C238" s="98" t="s">
        <v>814</v>
      </c>
      <c r="D238" t="s">
        <v>581</v>
      </c>
      <c r="E238" s="106" t="str">
        <f ca="1">テーブル3[[#This Row],[学校コード]]&amp;テーブル3[[#This Row],[数字]]&amp;テーブル3[[#This Row],[記号2]]</f>
        <v>110101232X</v>
      </c>
      <c r="I238" s="106"/>
    </row>
    <row r="239" spans="1:9" x14ac:dyDescent="0.4">
      <c r="A239">
        <v>233</v>
      </c>
      <c r="B239">
        <f ca="1">設定!$A$14</f>
        <v>110101</v>
      </c>
      <c r="C239" s="98" t="s">
        <v>815</v>
      </c>
      <c r="D239" t="s">
        <v>574</v>
      </c>
      <c r="E239" s="106" t="str">
        <f ca="1">テーブル3[[#This Row],[学校コード]]&amp;テーブル3[[#This Row],[数字]]&amp;テーブル3[[#This Row],[記号2]]</f>
        <v>110101233A</v>
      </c>
      <c r="I239" s="106"/>
    </row>
    <row r="240" spans="1:9" x14ac:dyDescent="0.4">
      <c r="A240">
        <v>234</v>
      </c>
      <c r="B240">
        <f ca="1">設定!$A$14</f>
        <v>110101</v>
      </c>
      <c r="C240" s="98" t="s">
        <v>816</v>
      </c>
      <c r="D240" t="s">
        <v>575</v>
      </c>
      <c r="E240" s="106" t="str">
        <f ca="1">テーブル3[[#This Row],[学校コード]]&amp;テーブル3[[#This Row],[数字]]&amp;テーブル3[[#This Row],[記号2]]</f>
        <v>110101234H</v>
      </c>
      <c r="I240" s="106"/>
    </row>
    <row r="241" spans="1:9" x14ac:dyDescent="0.4">
      <c r="A241">
        <v>235</v>
      </c>
      <c r="B241">
        <f ca="1">設定!$A$14</f>
        <v>110101</v>
      </c>
      <c r="C241" s="98" t="s">
        <v>817</v>
      </c>
      <c r="D241" t="s">
        <v>576</v>
      </c>
      <c r="E241" s="106" t="str">
        <f ca="1">テーブル3[[#This Row],[学校コード]]&amp;テーブル3[[#This Row],[数字]]&amp;テーブル3[[#This Row],[記号2]]</f>
        <v>110101235K</v>
      </c>
      <c r="I241" s="106"/>
    </row>
    <row r="242" spans="1:9" x14ac:dyDescent="0.4">
      <c r="A242">
        <v>236</v>
      </c>
      <c r="B242">
        <f ca="1">設定!$A$14</f>
        <v>110101</v>
      </c>
      <c r="C242" s="98" t="s">
        <v>818</v>
      </c>
      <c r="D242" t="s">
        <v>577</v>
      </c>
      <c r="E242" s="106" t="str">
        <f ca="1">テーブル3[[#This Row],[学校コード]]&amp;テーブル3[[#This Row],[数字]]&amp;テーブル3[[#This Row],[記号2]]</f>
        <v>110101236M</v>
      </c>
      <c r="I242" s="106"/>
    </row>
    <row r="243" spans="1:9" x14ac:dyDescent="0.4">
      <c r="A243">
        <v>237</v>
      </c>
      <c r="B243">
        <f ca="1">設定!$A$14</f>
        <v>110101</v>
      </c>
      <c r="C243" s="98" t="s">
        <v>819</v>
      </c>
      <c r="D243" t="s">
        <v>578</v>
      </c>
      <c r="E243" s="106" t="str">
        <f ca="1">テーブル3[[#This Row],[学校コード]]&amp;テーブル3[[#This Row],[数字]]&amp;テーブル3[[#This Row],[記号2]]</f>
        <v>110101237N</v>
      </c>
      <c r="I243" s="106"/>
    </row>
    <row r="244" spans="1:9" x14ac:dyDescent="0.4">
      <c r="A244">
        <v>238</v>
      </c>
      <c r="B244">
        <f ca="1">設定!$A$14</f>
        <v>110101</v>
      </c>
      <c r="C244" s="98" t="s">
        <v>820</v>
      </c>
      <c r="D244" t="s">
        <v>579</v>
      </c>
      <c r="E244" s="106" t="str">
        <f ca="1">テーブル3[[#This Row],[学校コード]]&amp;テーブル3[[#This Row],[数字]]&amp;テーブル3[[#This Row],[記号2]]</f>
        <v>110101238R</v>
      </c>
      <c r="I244" s="106"/>
    </row>
    <row r="245" spans="1:9" x14ac:dyDescent="0.4">
      <c r="A245">
        <v>239</v>
      </c>
      <c r="B245">
        <f ca="1">設定!$A$14</f>
        <v>110101</v>
      </c>
      <c r="C245" s="98" t="s">
        <v>821</v>
      </c>
      <c r="D245" t="s">
        <v>580</v>
      </c>
      <c r="E245" s="106" t="str">
        <f ca="1">テーブル3[[#This Row],[学校コード]]&amp;テーブル3[[#This Row],[数字]]&amp;テーブル3[[#This Row],[記号2]]</f>
        <v>110101239V</v>
      </c>
      <c r="I245" s="106"/>
    </row>
    <row r="246" spans="1:9" x14ac:dyDescent="0.4">
      <c r="A246">
        <v>240</v>
      </c>
      <c r="B246">
        <f ca="1">設定!$A$14</f>
        <v>110101</v>
      </c>
      <c r="C246" s="98" t="s">
        <v>822</v>
      </c>
      <c r="D246" t="s">
        <v>581</v>
      </c>
      <c r="E246" s="106" t="str">
        <f ca="1">テーブル3[[#This Row],[学校コード]]&amp;テーブル3[[#This Row],[数字]]&amp;テーブル3[[#This Row],[記号2]]</f>
        <v>110101240X</v>
      </c>
      <c r="I246" s="106"/>
    </row>
    <row r="247" spans="1:9" x14ac:dyDescent="0.4">
      <c r="A247">
        <v>241</v>
      </c>
      <c r="B247">
        <f ca="1">設定!$A$14</f>
        <v>110101</v>
      </c>
      <c r="C247" s="98" t="s">
        <v>823</v>
      </c>
      <c r="D247" t="s">
        <v>574</v>
      </c>
      <c r="E247" s="106" t="str">
        <f ca="1">テーブル3[[#This Row],[学校コード]]&amp;テーブル3[[#This Row],[数字]]&amp;テーブル3[[#This Row],[記号2]]</f>
        <v>110101241A</v>
      </c>
      <c r="I247" s="106"/>
    </row>
    <row r="248" spans="1:9" x14ac:dyDescent="0.4">
      <c r="A248">
        <v>242</v>
      </c>
      <c r="B248">
        <f ca="1">設定!$A$14</f>
        <v>110101</v>
      </c>
      <c r="C248" s="98" t="s">
        <v>824</v>
      </c>
      <c r="D248" t="s">
        <v>575</v>
      </c>
      <c r="E248" s="106" t="str">
        <f ca="1">テーブル3[[#This Row],[学校コード]]&amp;テーブル3[[#This Row],[数字]]&amp;テーブル3[[#This Row],[記号2]]</f>
        <v>110101242H</v>
      </c>
      <c r="I248" s="106"/>
    </row>
    <row r="249" spans="1:9" x14ac:dyDescent="0.4">
      <c r="A249">
        <v>243</v>
      </c>
      <c r="B249">
        <f ca="1">設定!$A$14</f>
        <v>110101</v>
      </c>
      <c r="C249" s="98" t="s">
        <v>825</v>
      </c>
      <c r="D249" t="s">
        <v>576</v>
      </c>
      <c r="E249" s="106" t="str">
        <f ca="1">テーブル3[[#This Row],[学校コード]]&amp;テーブル3[[#This Row],[数字]]&amp;テーブル3[[#This Row],[記号2]]</f>
        <v>110101243K</v>
      </c>
      <c r="I249" s="106"/>
    </row>
    <row r="250" spans="1:9" x14ac:dyDescent="0.4">
      <c r="A250">
        <v>244</v>
      </c>
      <c r="B250">
        <f ca="1">設定!$A$14</f>
        <v>110101</v>
      </c>
      <c r="C250" s="98" t="s">
        <v>826</v>
      </c>
      <c r="D250" t="s">
        <v>577</v>
      </c>
      <c r="E250" s="106" t="str">
        <f ca="1">テーブル3[[#This Row],[学校コード]]&amp;テーブル3[[#This Row],[数字]]&amp;テーブル3[[#This Row],[記号2]]</f>
        <v>110101244M</v>
      </c>
      <c r="I250" s="106"/>
    </row>
    <row r="251" spans="1:9" x14ac:dyDescent="0.4">
      <c r="A251">
        <v>245</v>
      </c>
      <c r="B251">
        <f ca="1">設定!$A$14</f>
        <v>110101</v>
      </c>
      <c r="C251" s="98" t="s">
        <v>827</v>
      </c>
      <c r="D251" t="s">
        <v>578</v>
      </c>
      <c r="E251" s="106" t="str">
        <f ca="1">テーブル3[[#This Row],[学校コード]]&amp;テーブル3[[#This Row],[数字]]&amp;テーブル3[[#This Row],[記号2]]</f>
        <v>110101245N</v>
      </c>
      <c r="I251" s="106"/>
    </row>
    <row r="252" spans="1:9" x14ac:dyDescent="0.4">
      <c r="A252">
        <v>246</v>
      </c>
      <c r="B252">
        <f ca="1">設定!$A$14</f>
        <v>110101</v>
      </c>
      <c r="C252" s="98" t="s">
        <v>828</v>
      </c>
      <c r="D252" t="s">
        <v>579</v>
      </c>
      <c r="E252" s="106" t="str">
        <f ca="1">テーブル3[[#This Row],[学校コード]]&amp;テーブル3[[#This Row],[数字]]&amp;テーブル3[[#This Row],[記号2]]</f>
        <v>110101246R</v>
      </c>
      <c r="I252" s="106"/>
    </row>
    <row r="253" spans="1:9" x14ac:dyDescent="0.4">
      <c r="A253">
        <v>247</v>
      </c>
      <c r="B253">
        <f ca="1">設定!$A$14</f>
        <v>110101</v>
      </c>
      <c r="C253" s="98" t="s">
        <v>829</v>
      </c>
      <c r="D253" t="s">
        <v>580</v>
      </c>
      <c r="E253" s="106" t="str">
        <f ca="1">テーブル3[[#This Row],[学校コード]]&amp;テーブル3[[#This Row],[数字]]&amp;テーブル3[[#This Row],[記号2]]</f>
        <v>110101247V</v>
      </c>
      <c r="I253" s="106"/>
    </row>
    <row r="254" spans="1:9" x14ac:dyDescent="0.4">
      <c r="A254">
        <v>248</v>
      </c>
      <c r="B254">
        <f ca="1">設定!$A$14</f>
        <v>110101</v>
      </c>
      <c r="C254" s="98" t="s">
        <v>830</v>
      </c>
      <c r="D254" t="s">
        <v>581</v>
      </c>
      <c r="E254" s="106" t="str">
        <f ca="1">テーブル3[[#This Row],[学校コード]]&amp;テーブル3[[#This Row],[数字]]&amp;テーブル3[[#This Row],[記号2]]</f>
        <v>110101248X</v>
      </c>
      <c r="I254" s="106"/>
    </row>
    <row r="255" spans="1:9" x14ac:dyDescent="0.4">
      <c r="A255">
        <v>249</v>
      </c>
      <c r="B255">
        <f ca="1">設定!$A$14</f>
        <v>110101</v>
      </c>
      <c r="C255" s="98" t="s">
        <v>831</v>
      </c>
      <c r="D255" t="s">
        <v>574</v>
      </c>
      <c r="E255" s="106" t="str">
        <f ca="1">テーブル3[[#This Row],[学校コード]]&amp;テーブル3[[#This Row],[数字]]&amp;テーブル3[[#This Row],[記号2]]</f>
        <v>110101249A</v>
      </c>
      <c r="I255" s="106"/>
    </row>
    <row r="256" spans="1:9" x14ac:dyDescent="0.4">
      <c r="A256">
        <v>250</v>
      </c>
      <c r="B256">
        <f ca="1">設定!$A$14</f>
        <v>110101</v>
      </c>
      <c r="C256" s="98" t="s">
        <v>832</v>
      </c>
      <c r="D256" t="s">
        <v>575</v>
      </c>
      <c r="E256" s="106" t="str">
        <f ca="1">テーブル3[[#This Row],[学校コード]]&amp;テーブル3[[#This Row],[数字]]&amp;テーブル3[[#This Row],[記号2]]</f>
        <v>110101250H</v>
      </c>
      <c r="I256" s="106"/>
    </row>
    <row r="257" spans="1:9" x14ac:dyDescent="0.4">
      <c r="A257">
        <v>251</v>
      </c>
      <c r="B257">
        <f ca="1">設定!$A$14</f>
        <v>110101</v>
      </c>
      <c r="C257" s="98" t="s">
        <v>833</v>
      </c>
      <c r="D257" t="s">
        <v>576</v>
      </c>
      <c r="E257" s="106" t="str">
        <f ca="1">テーブル3[[#This Row],[学校コード]]&amp;テーブル3[[#This Row],[数字]]&amp;テーブル3[[#This Row],[記号2]]</f>
        <v>110101251K</v>
      </c>
      <c r="I257" s="106"/>
    </row>
    <row r="258" spans="1:9" x14ac:dyDescent="0.4">
      <c r="A258">
        <v>252</v>
      </c>
      <c r="B258">
        <f ca="1">設定!$A$14</f>
        <v>110101</v>
      </c>
      <c r="C258" s="98" t="s">
        <v>834</v>
      </c>
      <c r="D258" t="s">
        <v>577</v>
      </c>
      <c r="E258" s="106" t="str">
        <f ca="1">テーブル3[[#This Row],[学校コード]]&amp;テーブル3[[#This Row],[数字]]&amp;テーブル3[[#This Row],[記号2]]</f>
        <v>110101252M</v>
      </c>
      <c r="I258" s="106"/>
    </row>
    <row r="259" spans="1:9" x14ac:dyDescent="0.4">
      <c r="A259">
        <v>253</v>
      </c>
      <c r="B259">
        <f ca="1">設定!$A$14</f>
        <v>110101</v>
      </c>
      <c r="C259" s="98" t="s">
        <v>835</v>
      </c>
      <c r="D259" t="s">
        <v>578</v>
      </c>
      <c r="E259" s="106" t="str">
        <f ca="1">テーブル3[[#This Row],[学校コード]]&amp;テーブル3[[#This Row],[数字]]&amp;テーブル3[[#This Row],[記号2]]</f>
        <v>110101253N</v>
      </c>
      <c r="I259" s="106"/>
    </row>
    <row r="260" spans="1:9" x14ac:dyDescent="0.4">
      <c r="A260">
        <v>254</v>
      </c>
      <c r="B260">
        <f ca="1">設定!$A$14</f>
        <v>110101</v>
      </c>
      <c r="C260" s="98" t="s">
        <v>836</v>
      </c>
      <c r="D260" t="s">
        <v>579</v>
      </c>
      <c r="E260" s="106" t="str">
        <f ca="1">テーブル3[[#This Row],[学校コード]]&amp;テーブル3[[#This Row],[数字]]&amp;テーブル3[[#This Row],[記号2]]</f>
        <v>110101254R</v>
      </c>
      <c r="I260" s="106"/>
    </row>
    <row r="261" spans="1:9" x14ac:dyDescent="0.4">
      <c r="A261">
        <v>255</v>
      </c>
      <c r="B261">
        <f ca="1">設定!$A$14</f>
        <v>110101</v>
      </c>
      <c r="C261" s="98" t="s">
        <v>837</v>
      </c>
      <c r="D261" t="s">
        <v>580</v>
      </c>
      <c r="E261" s="106" t="str">
        <f ca="1">テーブル3[[#This Row],[学校コード]]&amp;テーブル3[[#This Row],[数字]]&amp;テーブル3[[#This Row],[記号2]]</f>
        <v>110101255V</v>
      </c>
      <c r="I261" s="106"/>
    </row>
    <row r="262" spans="1:9" x14ac:dyDescent="0.4">
      <c r="A262">
        <v>256</v>
      </c>
      <c r="B262">
        <f ca="1">設定!$A$14</f>
        <v>110101</v>
      </c>
      <c r="C262" s="98" t="s">
        <v>838</v>
      </c>
      <c r="D262" t="s">
        <v>581</v>
      </c>
      <c r="E262" s="106" t="str">
        <f ca="1">テーブル3[[#This Row],[学校コード]]&amp;テーブル3[[#This Row],[数字]]&amp;テーブル3[[#This Row],[記号2]]</f>
        <v>110101256X</v>
      </c>
      <c r="I262" s="106"/>
    </row>
    <row r="263" spans="1:9" x14ac:dyDescent="0.4">
      <c r="A263">
        <v>257</v>
      </c>
      <c r="B263">
        <f ca="1">設定!$A$14</f>
        <v>110101</v>
      </c>
      <c r="C263" s="98" t="s">
        <v>839</v>
      </c>
      <c r="D263" t="s">
        <v>574</v>
      </c>
      <c r="E263" s="106" t="str">
        <f ca="1">テーブル3[[#This Row],[学校コード]]&amp;テーブル3[[#This Row],[数字]]&amp;テーブル3[[#This Row],[記号2]]</f>
        <v>110101257A</v>
      </c>
      <c r="I263" s="106"/>
    </row>
    <row r="264" spans="1:9" x14ac:dyDescent="0.4">
      <c r="A264">
        <v>258</v>
      </c>
      <c r="B264">
        <f ca="1">設定!$A$14</f>
        <v>110101</v>
      </c>
      <c r="C264" s="98" t="s">
        <v>840</v>
      </c>
      <c r="D264" t="s">
        <v>575</v>
      </c>
      <c r="E264" s="106" t="str">
        <f ca="1">テーブル3[[#This Row],[学校コード]]&amp;テーブル3[[#This Row],[数字]]&amp;テーブル3[[#This Row],[記号2]]</f>
        <v>110101258H</v>
      </c>
      <c r="I264" s="106"/>
    </row>
    <row r="265" spans="1:9" x14ac:dyDescent="0.4">
      <c r="A265">
        <v>259</v>
      </c>
      <c r="B265">
        <f ca="1">設定!$A$14</f>
        <v>110101</v>
      </c>
      <c r="C265" s="98" t="s">
        <v>841</v>
      </c>
      <c r="D265" t="s">
        <v>576</v>
      </c>
      <c r="E265" s="106" t="str">
        <f ca="1">テーブル3[[#This Row],[学校コード]]&amp;テーブル3[[#This Row],[数字]]&amp;テーブル3[[#This Row],[記号2]]</f>
        <v>110101259K</v>
      </c>
      <c r="I265" s="106"/>
    </row>
    <row r="266" spans="1:9" x14ac:dyDescent="0.4">
      <c r="A266">
        <v>260</v>
      </c>
      <c r="B266">
        <f ca="1">設定!$A$14</f>
        <v>110101</v>
      </c>
      <c r="C266" s="98" t="s">
        <v>842</v>
      </c>
      <c r="D266" t="s">
        <v>577</v>
      </c>
      <c r="E266" s="106" t="str">
        <f ca="1">テーブル3[[#This Row],[学校コード]]&amp;テーブル3[[#This Row],[数字]]&amp;テーブル3[[#This Row],[記号2]]</f>
        <v>110101260M</v>
      </c>
      <c r="I266" s="106"/>
    </row>
    <row r="267" spans="1:9" x14ac:dyDescent="0.4">
      <c r="A267">
        <v>261</v>
      </c>
      <c r="B267">
        <f ca="1">設定!$A$14</f>
        <v>110101</v>
      </c>
      <c r="C267" s="98" t="s">
        <v>843</v>
      </c>
      <c r="D267" t="s">
        <v>578</v>
      </c>
      <c r="E267" s="106" t="str">
        <f ca="1">テーブル3[[#This Row],[学校コード]]&amp;テーブル3[[#This Row],[数字]]&amp;テーブル3[[#This Row],[記号2]]</f>
        <v>110101261N</v>
      </c>
      <c r="I267" s="106"/>
    </row>
    <row r="268" spans="1:9" x14ac:dyDescent="0.4">
      <c r="A268">
        <v>262</v>
      </c>
      <c r="B268">
        <f ca="1">設定!$A$14</f>
        <v>110101</v>
      </c>
      <c r="C268" s="98" t="s">
        <v>844</v>
      </c>
      <c r="D268" t="s">
        <v>579</v>
      </c>
      <c r="E268" s="106" t="str">
        <f ca="1">テーブル3[[#This Row],[学校コード]]&amp;テーブル3[[#This Row],[数字]]&amp;テーブル3[[#This Row],[記号2]]</f>
        <v>110101262R</v>
      </c>
      <c r="I268" s="106"/>
    </row>
    <row r="269" spans="1:9" x14ac:dyDescent="0.4">
      <c r="A269">
        <v>263</v>
      </c>
      <c r="B269">
        <f ca="1">設定!$A$14</f>
        <v>110101</v>
      </c>
      <c r="C269" s="98" t="s">
        <v>845</v>
      </c>
      <c r="D269" t="s">
        <v>580</v>
      </c>
      <c r="E269" s="106" t="str">
        <f ca="1">テーブル3[[#This Row],[学校コード]]&amp;テーブル3[[#This Row],[数字]]&amp;テーブル3[[#This Row],[記号2]]</f>
        <v>110101263V</v>
      </c>
      <c r="I269" s="106"/>
    </row>
    <row r="270" spans="1:9" x14ac:dyDescent="0.4">
      <c r="A270">
        <v>264</v>
      </c>
      <c r="B270">
        <f ca="1">設定!$A$14</f>
        <v>110101</v>
      </c>
      <c r="C270" s="98" t="s">
        <v>846</v>
      </c>
      <c r="D270" t="s">
        <v>581</v>
      </c>
      <c r="E270" s="106" t="str">
        <f ca="1">テーブル3[[#This Row],[学校コード]]&amp;テーブル3[[#This Row],[数字]]&amp;テーブル3[[#This Row],[記号2]]</f>
        <v>110101264X</v>
      </c>
      <c r="I270" s="106"/>
    </row>
    <row r="271" spans="1:9" x14ac:dyDescent="0.4">
      <c r="A271">
        <v>265</v>
      </c>
      <c r="B271">
        <f ca="1">設定!$A$14</f>
        <v>110101</v>
      </c>
      <c r="C271" s="98" t="s">
        <v>847</v>
      </c>
      <c r="D271" t="s">
        <v>574</v>
      </c>
      <c r="E271" s="106" t="str">
        <f ca="1">テーブル3[[#This Row],[学校コード]]&amp;テーブル3[[#This Row],[数字]]&amp;テーブル3[[#This Row],[記号2]]</f>
        <v>110101265A</v>
      </c>
      <c r="I271" s="106"/>
    </row>
    <row r="272" spans="1:9" x14ac:dyDescent="0.4">
      <c r="A272">
        <v>266</v>
      </c>
      <c r="B272">
        <f ca="1">設定!$A$14</f>
        <v>110101</v>
      </c>
      <c r="C272" s="98" t="s">
        <v>848</v>
      </c>
      <c r="D272" t="s">
        <v>575</v>
      </c>
      <c r="E272" s="106" t="str">
        <f ca="1">テーブル3[[#This Row],[学校コード]]&amp;テーブル3[[#This Row],[数字]]&amp;テーブル3[[#This Row],[記号2]]</f>
        <v>110101266H</v>
      </c>
      <c r="I272" s="106"/>
    </row>
    <row r="273" spans="1:9" x14ac:dyDescent="0.4">
      <c r="A273">
        <v>267</v>
      </c>
      <c r="B273">
        <f ca="1">設定!$A$14</f>
        <v>110101</v>
      </c>
      <c r="C273" s="98" t="s">
        <v>849</v>
      </c>
      <c r="D273" t="s">
        <v>576</v>
      </c>
      <c r="E273" s="106" t="str">
        <f ca="1">テーブル3[[#This Row],[学校コード]]&amp;テーブル3[[#This Row],[数字]]&amp;テーブル3[[#This Row],[記号2]]</f>
        <v>110101267K</v>
      </c>
      <c r="I273" s="106"/>
    </row>
    <row r="274" spans="1:9" x14ac:dyDescent="0.4">
      <c r="A274">
        <v>268</v>
      </c>
      <c r="B274">
        <f ca="1">設定!$A$14</f>
        <v>110101</v>
      </c>
      <c r="C274" s="98" t="s">
        <v>850</v>
      </c>
      <c r="D274" t="s">
        <v>577</v>
      </c>
      <c r="E274" s="106" t="str">
        <f ca="1">テーブル3[[#This Row],[学校コード]]&amp;テーブル3[[#This Row],[数字]]&amp;テーブル3[[#This Row],[記号2]]</f>
        <v>110101268M</v>
      </c>
      <c r="I274" s="106"/>
    </row>
    <row r="275" spans="1:9" x14ac:dyDescent="0.4">
      <c r="A275">
        <v>269</v>
      </c>
      <c r="B275">
        <f ca="1">設定!$A$14</f>
        <v>110101</v>
      </c>
      <c r="C275" s="98" t="s">
        <v>851</v>
      </c>
      <c r="D275" t="s">
        <v>578</v>
      </c>
      <c r="E275" s="106" t="str">
        <f ca="1">テーブル3[[#This Row],[学校コード]]&amp;テーブル3[[#This Row],[数字]]&amp;テーブル3[[#This Row],[記号2]]</f>
        <v>110101269N</v>
      </c>
      <c r="I275" s="106"/>
    </row>
    <row r="276" spans="1:9" x14ac:dyDescent="0.4">
      <c r="A276">
        <v>270</v>
      </c>
      <c r="B276">
        <f ca="1">設定!$A$14</f>
        <v>110101</v>
      </c>
      <c r="C276" s="98" t="s">
        <v>852</v>
      </c>
      <c r="D276" t="s">
        <v>579</v>
      </c>
      <c r="E276" s="106" t="str">
        <f ca="1">テーブル3[[#This Row],[学校コード]]&amp;テーブル3[[#This Row],[数字]]&amp;テーブル3[[#This Row],[記号2]]</f>
        <v>110101270R</v>
      </c>
      <c r="I276" s="106"/>
    </row>
    <row r="277" spans="1:9" x14ac:dyDescent="0.4">
      <c r="A277">
        <v>271</v>
      </c>
      <c r="B277">
        <f ca="1">設定!$A$14</f>
        <v>110101</v>
      </c>
      <c r="C277" s="98" t="s">
        <v>853</v>
      </c>
      <c r="D277" t="s">
        <v>580</v>
      </c>
      <c r="E277" s="106" t="str">
        <f ca="1">テーブル3[[#This Row],[学校コード]]&amp;テーブル3[[#This Row],[数字]]&amp;テーブル3[[#This Row],[記号2]]</f>
        <v>110101271V</v>
      </c>
      <c r="I277" s="106"/>
    </row>
    <row r="278" spans="1:9" x14ac:dyDescent="0.4">
      <c r="A278">
        <v>272</v>
      </c>
      <c r="B278">
        <f ca="1">設定!$A$14</f>
        <v>110101</v>
      </c>
      <c r="C278" s="98" t="s">
        <v>854</v>
      </c>
      <c r="D278" t="s">
        <v>581</v>
      </c>
      <c r="E278" s="106" t="str">
        <f ca="1">テーブル3[[#This Row],[学校コード]]&amp;テーブル3[[#This Row],[数字]]&amp;テーブル3[[#This Row],[記号2]]</f>
        <v>110101272X</v>
      </c>
      <c r="I278" s="106"/>
    </row>
    <row r="279" spans="1:9" x14ac:dyDescent="0.4">
      <c r="A279">
        <v>273</v>
      </c>
      <c r="B279">
        <f ca="1">設定!$A$14</f>
        <v>110101</v>
      </c>
      <c r="C279" s="98" t="s">
        <v>855</v>
      </c>
      <c r="D279" t="s">
        <v>574</v>
      </c>
      <c r="E279" s="106" t="str">
        <f ca="1">テーブル3[[#This Row],[学校コード]]&amp;テーブル3[[#This Row],[数字]]&amp;テーブル3[[#This Row],[記号2]]</f>
        <v>110101273A</v>
      </c>
      <c r="I279" s="106"/>
    </row>
    <row r="280" spans="1:9" x14ac:dyDescent="0.4">
      <c r="A280">
        <v>274</v>
      </c>
      <c r="B280">
        <f ca="1">設定!$A$14</f>
        <v>110101</v>
      </c>
      <c r="C280" s="98" t="s">
        <v>856</v>
      </c>
      <c r="D280" t="s">
        <v>575</v>
      </c>
      <c r="E280" s="106" t="str">
        <f ca="1">テーブル3[[#This Row],[学校コード]]&amp;テーブル3[[#This Row],[数字]]&amp;テーブル3[[#This Row],[記号2]]</f>
        <v>110101274H</v>
      </c>
      <c r="I280" s="106"/>
    </row>
    <row r="281" spans="1:9" x14ac:dyDescent="0.4">
      <c r="A281">
        <v>275</v>
      </c>
      <c r="B281">
        <f ca="1">設定!$A$14</f>
        <v>110101</v>
      </c>
      <c r="C281" s="98" t="s">
        <v>857</v>
      </c>
      <c r="D281" t="s">
        <v>576</v>
      </c>
      <c r="E281" s="106" t="str">
        <f ca="1">テーブル3[[#This Row],[学校コード]]&amp;テーブル3[[#This Row],[数字]]&amp;テーブル3[[#This Row],[記号2]]</f>
        <v>110101275K</v>
      </c>
      <c r="I281" s="106"/>
    </row>
    <row r="282" spans="1:9" x14ac:dyDescent="0.4">
      <c r="A282">
        <v>276</v>
      </c>
      <c r="B282">
        <f ca="1">設定!$A$14</f>
        <v>110101</v>
      </c>
      <c r="C282" s="98" t="s">
        <v>858</v>
      </c>
      <c r="D282" t="s">
        <v>577</v>
      </c>
      <c r="E282" s="106" t="str">
        <f ca="1">テーブル3[[#This Row],[学校コード]]&amp;テーブル3[[#This Row],[数字]]&amp;テーブル3[[#This Row],[記号2]]</f>
        <v>110101276M</v>
      </c>
      <c r="I282" s="106"/>
    </row>
    <row r="283" spans="1:9" x14ac:dyDescent="0.4">
      <c r="A283">
        <v>277</v>
      </c>
      <c r="B283">
        <f ca="1">設定!$A$14</f>
        <v>110101</v>
      </c>
      <c r="C283" s="98" t="s">
        <v>859</v>
      </c>
      <c r="D283" t="s">
        <v>578</v>
      </c>
      <c r="E283" s="106" t="str">
        <f ca="1">テーブル3[[#This Row],[学校コード]]&amp;テーブル3[[#This Row],[数字]]&amp;テーブル3[[#This Row],[記号2]]</f>
        <v>110101277N</v>
      </c>
      <c r="I283" s="106"/>
    </row>
    <row r="284" spans="1:9" x14ac:dyDescent="0.4">
      <c r="A284">
        <v>278</v>
      </c>
      <c r="B284">
        <f ca="1">設定!$A$14</f>
        <v>110101</v>
      </c>
      <c r="C284" s="98" t="s">
        <v>860</v>
      </c>
      <c r="D284" t="s">
        <v>579</v>
      </c>
      <c r="E284" s="106" t="str">
        <f ca="1">テーブル3[[#This Row],[学校コード]]&amp;テーブル3[[#This Row],[数字]]&amp;テーブル3[[#This Row],[記号2]]</f>
        <v>110101278R</v>
      </c>
      <c r="I284" s="106"/>
    </row>
    <row r="285" spans="1:9" x14ac:dyDescent="0.4">
      <c r="A285">
        <v>279</v>
      </c>
      <c r="B285">
        <f ca="1">設定!$A$14</f>
        <v>110101</v>
      </c>
      <c r="C285" s="98" t="s">
        <v>861</v>
      </c>
      <c r="D285" t="s">
        <v>580</v>
      </c>
      <c r="E285" s="106" t="str">
        <f ca="1">テーブル3[[#This Row],[学校コード]]&amp;テーブル3[[#This Row],[数字]]&amp;テーブル3[[#This Row],[記号2]]</f>
        <v>110101279V</v>
      </c>
      <c r="I285" s="106"/>
    </row>
    <row r="286" spans="1:9" x14ac:dyDescent="0.4">
      <c r="A286">
        <v>280</v>
      </c>
      <c r="B286">
        <f ca="1">設定!$A$14</f>
        <v>110101</v>
      </c>
      <c r="C286" s="98" t="s">
        <v>862</v>
      </c>
      <c r="D286" t="s">
        <v>581</v>
      </c>
      <c r="E286" s="106" t="str">
        <f ca="1">テーブル3[[#This Row],[学校コード]]&amp;テーブル3[[#This Row],[数字]]&amp;テーブル3[[#This Row],[記号2]]</f>
        <v>110101280X</v>
      </c>
      <c r="I286" s="106"/>
    </row>
    <row r="287" spans="1:9" x14ac:dyDescent="0.4">
      <c r="A287">
        <v>281</v>
      </c>
      <c r="B287">
        <f ca="1">設定!$A$14</f>
        <v>110101</v>
      </c>
      <c r="C287" s="98" t="s">
        <v>863</v>
      </c>
      <c r="D287" t="s">
        <v>574</v>
      </c>
      <c r="E287" s="106" t="str">
        <f ca="1">テーブル3[[#This Row],[学校コード]]&amp;テーブル3[[#This Row],[数字]]&amp;テーブル3[[#This Row],[記号2]]</f>
        <v>110101281A</v>
      </c>
      <c r="I287" s="106"/>
    </row>
    <row r="288" spans="1:9" x14ac:dyDescent="0.4">
      <c r="A288">
        <v>282</v>
      </c>
      <c r="B288">
        <f ca="1">設定!$A$14</f>
        <v>110101</v>
      </c>
      <c r="C288" s="98" t="s">
        <v>864</v>
      </c>
      <c r="D288" t="s">
        <v>575</v>
      </c>
      <c r="E288" s="106" t="str">
        <f ca="1">テーブル3[[#This Row],[学校コード]]&amp;テーブル3[[#This Row],[数字]]&amp;テーブル3[[#This Row],[記号2]]</f>
        <v>110101282H</v>
      </c>
      <c r="I288" s="106"/>
    </row>
    <row r="289" spans="1:9" x14ac:dyDescent="0.4">
      <c r="A289">
        <v>283</v>
      </c>
      <c r="B289">
        <f ca="1">設定!$A$14</f>
        <v>110101</v>
      </c>
      <c r="C289" s="98" t="s">
        <v>865</v>
      </c>
      <c r="D289" t="s">
        <v>576</v>
      </c>
      <c r="E289" s="106" t="str">
        <f ca="1">テーブル3[[#This Row],[学校コード]]&amp;テーブル3[[#This Row],[数字]]&amp;テーブル3[[#This Row],[記号2]]</f>
        <v>110101283K</v>
      </c>
      <c r="I289" s="106"/>
    </row>
    <row r="290" spans="1:9" x14ac:dyDescent="0.4">
      <c r="A290">
        <v>284</v>
      </c>
      <c r="B290">
        <f ca="1">設定!$A$14</f>
        <v>110101</v>
      </c>
      <c r="C290" s="98" t="s">
        <v>866</v>
      </c>
      <c r="D290" t="s">
        <v>577</v>
      </c>
      <c r="E290" s="106" t="str">
        <f ca="1">テーブル3[[#This Row],[学校コード]]&amp;テーブル3[[#This Row],[数字]]&amp;テーブル3[[#This Row],[記号2]]</f>
        <v>110101284M</v>
      </c>
      <c r="I290" s="106"/>
    </row>
    <row r="291" spans="1:9" x14ac:dyDescent="0.4">
      <c r="A291">
        <v>285</v>
      </c>
      <c r="B291">
        <f ca="1">設定!$A$14</f>
        <v>110101</v>
      </c>
      <c r="C291" s="98" t="s">
        <v>867</v>
      </c>
      <c r="D291" t="s">
        <v>578</v>
      </c>
      <c r="E291" s="106" t="str">
        <f ca="1">テーブル3[[#This Row],[学校コード]]&amp;テーブル3[[#This Row],[数字]]&amp;テーブル3[[#This Row],[記号2]]</f>
        <v>110101285N</v>
      </c>
      <c r="I291" s="106"/>
    </row>
    <row r="292" spans="1:9" x14ac:dyDescent="0.4">
      <c r="A292">
        <v>286</v>
      </c>
      <c r="B292">
        <f ca="1">設定!$A$14</f>
        <v>110101</v>
      </c>
      <c r="C292" s="98" t="s">
        <v>868</v>
      </c>
      <c r="D292" t="s">
        <v>579</v>
      </c>
      <c r="E292" s="106" t="str">
        <f ca="1">テーブル3[[#This Row],[学校コード]]&amp;テーブル3[[#This Row],[数字]]&amp;テーブル3[[#This Row],[記号2]]</f>
        <v>110101286R</v>
      </c>
      <c r="I292" s="106"/>
    </row>
    <row r="293" spans="1:9" x14ac:dyDescent="0.4">
      <c r="A293">
        <v>287</v>
      </c>
      <c r="B293">
        <f ca="1">設定!$A$14</f>
        <v>110101</v>
      </c>
      <c r="C293" s="98" t="s">
        <v>869</v>
      </c>
      <c r="D293" t="s">
        <v>580</v>
      </c>
      <c r="E293" s="106" t="str">
        <f ca="1">テーブル3[[#This Row],[学校コード]]&amp;テーブル3[[#This Row],[数字]]&amp;テーブル3[[#This Row],[記号2]]</f>
        <v>110101287V</v>
      </c>
      <c r="I293" s="106"/>
    </row>
    <row r="294" spans="1:9" x14ac:dyDescent="0.4">
      <c r="A294">
        <v>288</v>
      </c>
      <c r="B294">
        <f ca="1">設定!$A$14</f>
        <v>110101</v>
      </c>
      <c r="C294" s="98" t="s">
        <v>870</v>
      </c>
      <c r="D294" t="s">
        <v>581</v>
      </c>
      <c r="E294" s="106" t="str">
        <f ca="1">テーブル3[[#This Row],[学校コード]]&amp;テーブル3[[#This Row],[数字]]&amp;テーブル3[[#This Row],[記号2]]</f>
        <v>110101288X</v>
      </c>
      <c r="I294" s="106"/>
    </row>
    <row r="295" spans="1:9" x14ac:dyDescent="0.4">
      <c r="A295">
        <v>289</v>
      </c>
      <c r="B295">
        <f ca="1">設定!$A$14</f>
        <v>110101</v>
      </c>
      <c r="C295" s="98" t="s">
        <v>871</v>
      </c>
      <c r="D295" t="s">
        <v>574</v>
      </c>
      <c r="E295" s="106" t="str">
        <f ca="1">テーブル3[[#This Row],[学校コード]]&amp;テーブル3[[#This Row],[数字]]&amp;テーブル3[[#This Row],[記号2]]</f>
        <v>110101289A</v>
      </c>
      <c r="I295" s="106"/>
    </row>
    <row r="296" spans="1:9" x14ac:dyDescent="0.4">
      <c r="A296">
        <v>290</v>
      </c>
      <c r="B296">
        <f ca="1">設定!$A$14</f>
        <v>110101</v>
      </c>
      <c r="C296" s="98" t="s">
        <v>872</v>
      </c>
      <c r="D296" t="s">
        <v>575</v>
      </c>
      <c r="E296" s="106" t="str">
        <f ca="1">テーブル3[[#This Row],[学校コード]]&amp;テーブル3[[#This Row],[数字]]&amp;テーブル3[[#This Row],[記号2]]</f>
        <v>110101290H</v>
      </c>
      <c r="I296" s="106"/>
    </row>
    <row r="297" spans="1:9" x14ac:dyDescent="0.4">
      <c r="A297">
        <v>291</v>
      </c>
      <c r="B297">
        <f ca="1">設定!$A$14</f>
        <v>110101</v>
      </c>
      <c r="C297" s="98" t="s">
        <v>873</v>
      </c>
      <c r="D297" t="s">
        <v>576</v>
      </c>
      <c r="E297" s="106" t="str">
        <f ca="1">テーブル3[[#This Row],[学校コード]]&amp;テーブル3[[#This Row],[数字]]&amp;テーブル3[[#This Row],[記号2]]</f>
        <v>110101291K</v>
      </c>
      <c r="I297" s="106"/>
    </row>
    <row r="298" spans="1:9" x14ac:dyDescent="0.4">
      <c r="A298">
        <v>292</v>
      </c>
      <c r="B298">
        <f ca="1">設定!$A$14</f>
        <v>110101</v>
      </c>
      <c r="C298" s="98" t="s">
        <v>874</v>
      </c>
      <c r="D298" t="s">
        <v>577</v>
      </c>
      <c r="E298" s="106" t="str">
        <f ca="1">テーブル3[[#This Row],[学校コード]]&amp;テーブル3[[#This Row],[数字]]&amp;テーブル3[[#This Row],[記号2]]</f>
        <v>110101292M</v>
      </c>
      <c r="I298" s="106"/>
    </row>
    <row r="299" spans="1:9" x14ac:dyDescent="0.4">
      <c r="A299">
        <v>293</v>
      </c>
      <c r="B299">
        <f ca="1">設定!$A$14</f>
        <v>110101</v>
      </c>
      <c r="C299" s="98" t="s">
        <v>875</v>
      </c>
      <c r="D299" t="s">
        <v>578</v>
      </c>
      <c r="E299" s="106" t="str">
        <f ca="1">テーブル3[[#This Row],[学校コード]]&amp;テーブル3[[#This Row],[数字]]&amp;テーブル3[[#This Row],[記号2]]</f>
        <v>110101293N</v>
      </c>
      <c r="I299" s="106"/>
    </row>
    <row r="300" spans="1:9" x14ac:dyDescent="0.4">
      <c r="A300">
        <v>294</v>
      </c>
      <c r="B300">
        <f ca="1">設定!$A$14</f>
        <v>110101</v>
      </c>
      <c r="C300" s="98" t="s">
        <v>876</v>
      </c>
      <c r="D300" t="s">
        <v>579</v>
      </c>
      <c r="E300" s="106" t="str">
        <f ca="1">テーブル3[[#This Row],[学校コード]]&amp;テーブル3[[#This Row],[数字]]&amp;テーブル3[[#This Row],[記号2]]</f>
        <v>110101294R</v>
      </c>
      <c r="I300" s="106"/>
    </row>
    <row r="301" spans="1:9" x14ac:dyDescent="0.4">
      <c r="A301">
        <v>295</v>
      </c>
      <c r="B301">
        <f ca="1">設定!$A$14</f>
        <v>110101</v>
      </c>
      <c r="C301" s="98" t="s">
        <v>877</v>
      </c>
      <c r="D301" t="s">
        <v>580</v>
      </c>
      <c r="E301" s="106" t="str">
        <f ca="1">テーブル3[[#This Row],[学校コード]]&amp;テーブル3[[#This Row],[数字]]&amp;テーブル3[[#This Row],[記号2]]</f>
        <v>110101295V</v>
      </c>
      <c r="I301" s="106"/>
    </row>
    <row r="302" spans="1:9" x14ac:dyDescent="0.4">
      <c r="A302">
        <v>296</v>
      </c>
      <c r="B302">
        <f ca="1">設定!$A$14</f>
        <v>110101</v>
      </c>
      <c r="C302" s="98" t="s">
        <v>878</v>
      </c>
      <c r="D302" t="s">
        <v>581</v>
      </c>
      <c r="E302" s="106" t="str">
        <f ca="1">テーブル3[[#This Row],[学校コード]]&amp;テーブル3[[#This Row],[数字]]&amp;テーブル3[[#This Row],[記号2]]</f>
        <v>110101296X</v>
      </c>
      <c r="I302" s="106"/>
    </row>
    <row r="303" spans="1:9" x14ac:dyDescent="0.4">
      <c r="A303">
        <v>297</v>
      </c>
      <c r="B303">
        <f ca="1">設定!$A$14</f>
        <v>110101</v>
      </c>
      <c r="C303" s="98" t="s">
        <v>879</v>
      </c>
      <c r="D303" t="s">
        <v>574</v>
      </c>
      <c r="E303" s="106" t="str">
        <f ca="1">テーブル3[[#This Row],[学校コード]]&amp;テーブル3[[#This Row],[数字]]&amp;テーブル3[[#This Row],[記号2]]</f>
        <v>110101297A</v>
      </c>
      <c r="I303" s="106"/>
    </row>
    <row r="304" spans="1:9" x14ac:dyDescent="0.4">
      <c r="A304">
        <v>298</v>
      </c>
      <c r="B304">
        <f ca="1">設定!$A$14</f>
        <v>110101</v>
      </c>
      <c r="C304" s="98" t="s">
        <v>880</v>
      </c>
      <c r="D304" t="s">
        <v>575</v>
      </c>
      <c r="E304" s="106" t="str">
        <f ca="1">テーブル3[[#This Row],[学校コード]]&amp;テーブル3[[#This Row],[数字]]&amp;テーブル3[[#This Row],[記号2]]</f>
        <v>110101298H</v>
      </c>
      <c r="I304" s="106"/>
    </row>
    <row r="305" spans="1:9" x14ac:dyDescent="0.4">
      <c r="A305">
        <v>299</v>
      </c>
      <c r="B305">
        <f ca="1">設定!$A$14</f>
        <v>110101</v>
      </c>
      <c r="C305" s="98" t="s">
        <v>881</v>
      </c>
      <c r="D305" t="s">
        <v>576</v>
      </c>
      <c r="E305" s="106" t="str">
        <f ca="1">テーブル3[[#This Row],[学校コード]]&amp;テーブル3[[#This Row],[数字]]&amp;テーブル3[[#This Row],[記号2]]</f>
        <v>110101299K</v>
      </c>
      <c r="I305" s="106"/>
    </row>
    <row r="306" spans="1:9" x14ac:dyDescent="0.4">
      <c r="A306">
        <v>300</v>
      </c>
      <c r="B306">
        <f ca="1">設定!$A$14</f>
        <v>110101</v>
      </c>
      <c r="C306" s="98" t="s">
        <v>882</v>
      </c>
      <c r="D306" t="s">
        <v>577</v>
      </c>
      <c r="E306" s="106" t="str">
        <f ca="1">テーブル3[[#This Row],[学校コード]]&amp;テーブル3[[#This Row],[数字]]&amp;テーブル3[[#This Row],[記号2]]</f>
        <v>110101300M</v>
      </c>
      <c r="I306" s="106"/>
    </row>
    <row r="307" spans="1:9" x14ac:dyDescent="0.4">
      <c r="A307">
        <v>301</v>
      </c>
      <c r="B307">
        <f ca="1">設定!$A$14</f>
        <v>110101</v>
      </c>
      <c r="C307" s="98" t="s">
        <v>883</v>
      </c>
      <c r="D307" t="s">
        <v>578</v>
      </c>
      <c r="E307" s="106" t="str">
        <f ca="1">テーブル3[[#This Row],[学校コード]]&amp;テーブル3[[#This Row],[数字]]&amp;テーブル3[[#This Row],[記号2]]</f>
        <v>110101301N</v>
      </c>
      <c r="I307" s="106"/>
    </row>
    <row r="308" spans="1:9" x14ac:dyDescent="0.4">
      <c r="A308">
        <v>302</v>
      </c>
      <c r="B308">
        <f ca="1">設定!$A$14</f>
        <v>110101</v>
      </c>
      <c r="C308" s="98" t="s">
        <v>884</v>
      </c>
      <c r="D308" t="s">
        <v>579</v>
      </c>
      <c r="E308" s="106" t="str">
        <f ca="1">テーブル3[[#This Row],[学校コード]]&amp;テーブル3[[#This Row],[数字]]&amp;テーブル3[[#This Row],[記号2]]</f>
        <v>110101302R</v>
      </c>
      <c r="I308" s="106"/>
    </row>
    <row r="309" spans="1:9" x14ac:dyDescent="0.4">
      <c r="A309">
        <v>303</v>
      </c>
      <c r="B309">
        <f ca="1">設定!$A$14</f>
        <v>110101</v>
      </c>
      <c r="C309" s="98" t="s">
        <v>885</v>
      </c>
      <c r="D309" t="s">
        <v>580</v>
      </c>
      <c r="E309" s="106" t="str">
        <f ca="1">テーブル3[[#This Row],[学校コード]]&amp;テーブル3[[#This Row],[数字]]&amp;テーブル3[[#This Row],[記号2]]</f>
        <v>110101303V</v>
      </c>
      <c r="I309" s="106"/>
    </row>
    <row r="310" spans="1:9" x14ac:dyDescent="0.4">
      <c r="A310">
        <v>304</v>
      </c>
      <c r="B310">
        <f ca="1">設定!$A$14</f>
        <v>110101</v>
      </c>
      <c r="C310" s="98" t="s">
        <v>886</v>
      </c>
      <c r="D310" t="s">
        <v>581</v>
      </c>
      <c r="E310" s="106" t="str">
        <f ca="1">テーブル3[[#This Row],[学校コード]]&amp;テーブル3[[#This Row],[数字]]&amp;テーブル3[[#This Row],[記号2]]</f>
        <v>110101304X</v>
      </c>
      <c r="I310" s="106"/>
    </row>
    <row r="311" spans="1:9" x14ac:dyDescent="0.4">
      <c r="A311">
        <v>305</v>
      </c>
      <c r="B311">
        <f ca="1">設定!$A$14</f>
        <v>110101</v>
      </c>
      <c r="C311" s="98" t="s">
        <v>887</v>
      </c>
      <c r="D311" t="s">
        <v>574</v>
      </c>
      <c r="E311" s="106" t="str">
        <f ca="1">テーブル3[[#This Row],[学校コード]]&amp;テーブル3[[#This Row],[数字]]&amp;テーブル3[[#This Row],[記号2]]</f>
        <v>110101305A</v>
      </c>
      <c r="I311" s="106"/>
    </row>
    <row r="312" spans="1:9" x14ac:dyDescent="0.4">
      <c r="A312">
        <v>306</v>
      </c>
      <c r="B312">
        <f ca="1">設定!$A$14</f>
        <v>110101</v>
      </c>
      <c r="C312" s="98" t="s">
        <v>888</v>
      </c>
      <c r="D312" t="s">
        <v>575</v>
      </c>
      <c r="E312" s="106" t="str">
        <f ca="1">テーブル3[[#This Row],[学校コード]]&amp;テーブル3[[#This Row],[数字]]&amp;テーブル3[[#This Row],[記号2]]</f>
        <v>110101306H</v>
      </c>
      <c r="I312" s="106"/>
    </row>
    <row r="313" spans="1:9" x14ac:dyDescent="0.4">
      <c r="A313">
        <v>307</v>
      </c>
      <c r="B313">
        <f ca="1">設定!$A$14</f>
        <v>110101</v>
      </c>
      <c r="C313" s="98" t="s">
        <v>889</v>
      </c>
      <c r="D313" t="s">
        <v>576</v>
      </c>
      <c r="E313" s="106" t="str">
        <f ca="1">テーブル3[[#This Row],[学校コード]]&amp;テーブル3[[#This Row],[数字]]&amp;テーブル3[[#This Row],[記号2]]</f>
        <v>110101307K</v>
      </c>
      <c r="I313" s="106"/>
    </row>
    <row r="314" spans="1:9" x14ac:dyDescent="0.4">
      <c r="A314">
        <v>308</v>
      </c>
      <c r="B314">
        <f ca="1">設定!$A$14</f>
        <v>110101</v>
      </c>
      <c r="C314" s="98" t="s">
        <v>890</v>
      </c>
      <c r="D314" t="s">
        <v>577</v>
      </c>
      <c r="E314" s="106" t="str">
        <f ca="1">テーブル3[[#This Row],[学校コード]]&amp;テーブル3[[#This Row],[数字]]&amp;テーブル3[[#This Row],[記号2]]</f>
        <v>110101308M</v>
      </c>
      <c r="I314" s="106"/>
    </row>
    <row r="315" spans="1:9" x14ac:dyDescent="0.4">
      <c r="A315">
        <v>309</v>
      </c>
      <c r="B315">
        <f ca="1">設定!$A$14</f>
        <v>110101</v>
      </c>
      <c r="C315" s="98" t="s">
        <v>891</v>
      </c>
      <c r="D315" t="s">
        <v>578</v>
      </c>
      <c r="E315" s="106" t="str">
        <f ca="1">テーブル3[[#This Row],[学校コード]]&amp;テーブル3[[#This Row],[数字]]&amp;テーブル3[[#This Row],[記号2]]</f>
        <v>110101309N</v>
      </c>
      <c r="I315" s="106"/>
    </row>
    <row r="316" spans="1:9" x14ac:dyDescent="0.4">
      <c r="A316">
        <v>310</v>
      </c>
      <c r="B316">
        <f ca="1">設定!$A$14</f>
        <v>110101</v>
      </c>
      <c r="C316" s="98" t="s">
        <v>892</v>
      </c>
      <c r="D316" t="s">
        <v>579</v>
      </c>
      <c r="E316" s="106" t="str">
        <f ca="1">テーブル3[[#This Row],[学校コード]]&amp;テーブル3[[#This Row],[数字]]&amp;テーブル3[[#This Row],[記号2]]</f>
        <v>110101310R</v>
      </c>
      <c r="I316" s="106"/>
    </row>
    <row r="317" spans="1:9" x14ac:dyDescent="0.4">
      <c r="A317">
        <v>311</v>
      </c>
      <c r="B317">
        <f ca="1">設定!$A$14</f>
        <v>110101</v>
      </c>
      <c r="C317" s="98" t="s">
        <v>893</v>
      </c>
      <c r="D317" t="s">
        <v>580</v>
      </c>
      <c r="E317" s="106" t="str">
        <f ca="1">テーブル3[[#This Row],[学校コード]]&amp;テーブル3[[#This Row],[数字]]&amp;テーブル3[[#This Row],[記号2]]</f>
        <v>110101311V</v>
      </c>
      <c r="I317" s="106"/>
    </row>
    <row r="318" spans="1:9" x14ac:dyDescent="0.4">
      <c r="A318">
        <v>312</v>
      </c>
      <c r="B318">
        <f ca="1">設定!$A$14</f>
        <v>110101</v>
      </c>
      <c r="C318" s="98" t="s">
        <v>894</v>
      </c>
      <c r="D318" t="s">
        <v>581</v>
      </c>
      <c r="E318" s="106" t="str">
        <f ca="1">テーブル3[[#This Row],[学校コード]]&amp;テーブル3[[#This Row],[数字]]&amp;テーブル3[[#This Row],[記号2]]</f>
        <v>110101312X</v>
      </c>
      <c r="I318" s="106"/>
    </row>
    <row r="319" spans="1:9" x14ac:dyDescent="0.4">
      <c r="A319">
        <v>313</v>
      </c>
      <c r="B319">
        <f ca="1">設定!$A$14</f>
        <v>110101</v>
      </c>
      <c r="C319" s="98" t="s">
        <v>895</v>
      </c>
      <c r="D319" t="s">
        <v>574</v>
      </c>
      <c r="E319" s="106" t="str">
        <f ca="1">テーブル3[[#This Row],[学校コード]]&amp;テーブル3[[#This Row],[数字]]&amp;テーブル3[[#This Row],[記号2]]</f>
        <v>110101313A</v>
      </c>
      <c r="I319" s="106"/>
    </row>
    <row r="320" spans="1:9" x14ac:dyDescent="0.4">
      <c r="A320">
        <v>314</v>
      </c>
      <c r="B320">
        <f ca="1">設定!$A$14</f>
        <v>110101</v>
      </c>
      <c r="C320" s="98" t="s">
        <v>896</v>
      </c>
      <c r="D320" t="s">
        <v>575</v>
      </c>
      <c r="E320" s="106" t="str">
        <f ca="1">テーブル3[[#This Row],[学校コード]]&amp;テーブル3[[#This Row],[数字]]&amp;テーブル3[[#This Row],[記号2]]</f>
        <v>110101314H</v>
      </c>
      <c r="I320" s="106"/>
    </row>
    <row r="321" spans="1:9" x14ac:dyDescent="0.4">
      <c r="A321">
        <v>315</v>
      </c>
      <c r="B321">
        <f ca="1">設定!$A$14</f>
        <v>110101</v>
      </c>
      <c r="C321" s="98" t="s">
        <v>897</v>
      </c>
      <c r="D321" t="s">
        <v>576</v>
      </c>
      <c r="E321" s="106" t="str">
        <f ca="1">テーブル3[[#This Row],[学校コード]]&amp;テーブル3[[#This Row],[数字]]&amp;テーブル3[[#This Row],[記号2]]</f>
        <v>110101315K</v>
      </c>
      <c r="I321" s="106"/>
    </row>
    <row r="322" spans="1:9" x14ac:dyDescent="0.4">
      <c r="A322">
        <v>316</v>
      </c>
      <c r="B322">
        <f ca="1">設定!$A$14</f>
        <v>110101</v>
      </c>
      <c r="C322" s="98" t="s">
        <v>898</v>
      </c>
      <c r="D322" t="s">
        <v>577</v>
      </c>
      <c r="E322" s="106" t="str">
        <f ca="1">テーブル3[[#This Row],[学校コード]]&amp;テーブル3[[#This Row],[数字]]&amp;テーブル3[[#This Row],[記号2]]</f>
        <v>110101316M</v>
      </c>
      <c r="I322" s="106"/>
    </row>
    <row r="323" spans="1:9" x14ac:dyDescent="0.4">
      <c r="A323">
        <v>317</v>
      </c>
      <c r="B323">
        <f ca="1">設定!$A$14</f>
        <v>110101</v>
      </c>
      <c r="C323" s="98" t="s">
        <v>899</v>
      </c>
      <c r="D323" t="s">
        <v>578</v>
      </c>
      <c r="E323" s="106" t="str">
        <f ca="1">テーブル3[[#This Row],[学校コード]]&amp;テーブル3[[#This Row],[数字]]&amp;テーブル3[[#This Row],[記号2]]</f>
        <v>110101317N</v>
      </c>
      <c r="I323" s="106"/>
    </row>
    <row r="324" spans="1:9" x14ac:dyDescent="0.4">
      <c r="A324">
        <v>318</v>
      </c>
      <c r="B324">
        <f ca="1">設定!$A$14</f>
        <v>110101</v>
      </c>
      <c r="C324" s="98" t="s">
        <v>900</v>
      </c>
      <c r="D324" t="s">
        <v>579</v>
      </c>
      <c r="E324" s="106" t="str">
        <f ca="1">テーブル3[[#This Row],[学校コード]]&amp;テーブル3[[#This Row],[数字]]&amp;テーブル3[[#This Row],[記号2]]</f>
        <v>110101318R</v>
      </c>
      <c r="I324" s="106"/>
    </row>
    <row r="325" spans="1:9" x14ac:dyDescent="0.4">
      <c r="A325">
        <v>319</v>
      </c>
      <c r="B325">
        <f ca="1">設定!$A$14</f>
        <v>110101</v>
      </c>
      <c r="C325" s="98" t="s">
        <v>901</v>
      </c>
      <c r="D325" t="s">
        <v>580</v>
      </c>
      <c r="E325" s="106" t="str">
        <f ca="1">テーブル3[[#This Row],[学校コード]]&amp;テーブル3[[#This Row],[数字]]&amp;テーブル3[[#This Row],[記号2]]</f>
        <v>110101319V</v>
      </c>
      <c r="I325" s="106"/>
    </row>
    <row r="326" spans="1:9" ht="19.5" thickBot="1" x14ac:dyDescent="0.45">
      <c r="A326">
        <v>320</v>
      </c>
      <c r="B326">
        <f ca="1">設定!$A$14</f>
        <v>110101</v>
      </c>
      <c r="C326" s="98" t="s">
        <v>902</v>
      </c>
      <c r="D326" t="s">
        <v>581</v>
      </c>
      <c r="E326" s="106" t="str">
        <f ca="1">テーブル3[[#This Row],[学校コード]]&amp;テーブル3[[#This Row],[数字]]&amp;テーブル3[[#This Row],[記号2]]</f>
        <v>110101320X</v>
      </c>
      <c r="F326" s="107"/>
      <c r="G326" s="107"/>
      <c r="H326" s="107"/>
      <c r="I326" s="108"/>
    </row>
    <row r="327" spans="1:9" ht="19.5" thickTop="1" x14ac:dyDescent="0.4"/>
  </sheetData>
  <phoneticPr fontId="1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969D-9D58-4E43-BD3E-79A846E161EE}">
  <sheetPr>
    <tabColor theme="0" tint="-0.14999847407452621"/>
    <pageSetUpPr fitToPage="1"/>
  </sheetPr>
  <dimension ref="A1:I318"/>
  <sheetViews>
    <sheetView topLeftCell="A246" zoomScaleNormal="100" zoomScaleSheetLayoutView="100" workbookViewId="0">
      <selection activeCell="D2" sqref="D2"/>
    </sheetView>
  </sheetViews>
  <sheetFormatPr defaultColWidth="9" defaultRowHeight="13.5" x14ac:dyDescent="0.15"/>
  <cols>
    <col min="1" max="1" width="11.75" style="1" customWidth="1"/>
    <col min="2" max="2" width="9.75" style="2" customWidth="1"/>
    <col min="3" max="3" width="13.875" style="2" bestFit="1" customWidth="1"/>
    <col min="4" max="4" width="39.125" style="15" customWidth="1"/>
    <col min="5" max="5" width="22.25" style="1" bestFit="1" customWidth="1"/>
    <col min="6" max="16384" width="9" style="1"/>
  </cols>
  <sheetData>
    <row r="1" spans="1:5" x14ac:dyDescent="0.15">
      <c r="A1" s="1" t="s">
        <v>0</v>
      </c>
      <c r="D1" s="3">
        <v>46085</v>
      </c>
      <c r="E1" s="4"/>
    </row>
    <row r="2" spans="1:5" ht="14.25" thickBot="1" x14ac:dyDescent="0.2">
      <c r="A2" s="70" t="s">
        <v>1</v>
      </c>
      <c r="B2" s="71" t="s">
        <v>2</v>
      </c>
      <c r="C2" s="71" t="s">
        <v>3</v>
      </c>
      <c r="D2" s="72" t="s">
        <v>4</v>
      </c>
    </row>
    <row r="3" spans="1:5" x14ac:dyDescent="0.15">
      <c r="A3" s="5">
        <v>110101</v>
      </c>
      <c r="B3" s="6" t="s">
        <v>5</v>
      </c>
      <c r="C3" s="6" t="s">
        <v>6</v>
      </c>
      <c r="D3" s="7" t="s">
        <v>7</v>
      </c>
    </row>
    <row r="4" spans="1:5" x14ac:dyDescent="0.15">
      <c r="A4" s="8">
        <v>110102</v>
      </c>
      <c r="B4" s="9" t="s">
        <v>5</v>
      </c>
      <c r="C4" s="9" t="s">
        <v>6</v>
      </c>
      <c r="D4" s="10" t="s">
        <v>8</v>
      </c>
    </row>
    <row r="5" spans="1:5" x14ac:dyDescent="0.15">
      <c r="A5" s="8">
        <v>110103</v>
      </c>
      <c r="B5" s="9" t="s">
        <v>5</v>
      </c>
      <c r="C5" s="9" t="s">
        <v>6</v>
      </c>
      <c r="D5" s="10" t="s">
        <v>9</v>
      </c>
    </row>
    <row r="6" spans="1:5" x14ac:dyDescent="0.15">
      <c r="A6" s="8">
        <v>110104</v>
      </c>
      <c r="B6" s="9" t="s">
        <v>5</v>
      </c>
      <c r="C6" s="9" t="s">
        <v>6</v>
      </c>
      <c r="D6" s="10" t="s">
        <v>10</v>
      </c>
    </row>
    <row r="7" spans="1:5" x14ac:dyDescent="0.15">
      <c r="A7" s="8">
        <v>110105</v>
      </c>
      <c r="B7" s="9" t="s">
        <v>5</v>
      </c>
      <c r="C7" s="9" t="s">
        <v>6</v>
      </c>
      <c r="D7" s="10" t="s">
        <v>11</v>
      </c>
    </row>
    <row r="8" spans="1:5" x14ac:dyDescent="0.15">
      <c r="A8" s="8">
        <v>110106</v>
      </c>
      <c r="B8" s="9" t="s">
        <v>5</v>
      </c>
      <c r="C8" s="9" t="s">
        <v>6</v>
      </c>
      <c r="D8" s="10" t="s">
        <v>12</v>
      </c>
    </row>
    <row r="9" spans="1:5" x14ac:dyDescent="0.15">
      <c r="A9" s="8">
        <v>110107</v>
      </c>
      <c r="B9" s="9" t="s">
        <v>5</v>
      </c>
      <c r="C9" s="9" t="s">
        <v>6</v>
      </c>
      <c r="D9" s="10" t="s">
        <v>13</v>
      </c>
    </row>
    <row r="10" spans="1:5" x14ac:dyDescent="0.15">
      <c r="A10" s="8">
        <v>110108</v>
      </c>
      <c r="B10" s="9" t="s">
        <v>5</v>
      </c>
      <c r="C10" s="9" t="s">
        <v>6</v>
      </c>
      <c r="D10" s="10" t="s">
        <v>14</v>
      </c>
    </row>
    <row r="11" spans="1:5" x14ac:dyDescent="0.15">
      <c r="A11" s="8">
        <v>110109</v>
      </c>
      <c r="B11" s="9" t="s">
        <v>5</v>
      </c>
      <c r="C11" s="9" t="s">
        <v>6</v>
      </c>
      <c r="D11" s="10" t="s">
        <v>15</v>
      </c>
    </row>
    <row r="12" spans="1:5" x14ac:dyDescent="0.15">
      <c r="A12" s="8">
        <v>110110</v>
      </c>
      <c r="B12" s="9" t="s">
        <v>5</v>
      </c>
      <c r="C12" s="9" t="s">
        <v>6</v>
      </c>
      <c r="D12" s="10" t="s">
        <v>16</v>
      </c>
    </row>
    <row r="13" spans="1:5" x14ac:dyDescent="0.15">
      <c r="A13" s="8">
        <v>110111</v>
      </c>
      <c r="B13" s="9" t="s">
        <v>5</v>
      </c>
      <c r="C13" s="9" t="s">
        <v>6</v>
      </c>
      <c r="D13" s="10" t="s">
        <v>17</v>
      </c>
    </row>
    <row r="14" spans="1:5" x14ac:dyDescent="0.15">
      <c r="A14" s="8">
        <v>110112</v>
      </c>
      <c r="B14" s="9" t="s">
        <v>5</v>
      </c>
      <c r="C14" s="9" t="s">
        <v>6</v>
      </c>
      <c r="D14" s="10" t="s">
        <v>18</v>
      </c>
    </row>
    <row r="15" spans="1:5" x14ac:dyDescent="0.15">
      <c r="A15" s="8">
        <v>110114</v>
      </c>
      <c r="B15" s="9" t="s">
        <v>5</v>
      </c>
      <c r="C15" s="9" t="s">
        <v>6</v>
      </c>
      <c r="D15" s="10" t="s">
        <v>19</v>
      </c>
    </row>
    <row r="16" spans="1:5" x14ac:dyDescent="0.15">
      <c r="A16" s="8">
        <v>110115</v>
      </c>
      <c r="B16" s="9" t="s">
        <v>5</v>
      </c>
      <c r="C16" s="9" t="s">
        <v>6</v>
      </c>
      <c r="D16" s="10" t="s">
        <v>20</v>
      </c>
    </row>
    <row r="17" spans="1:4" x14ac:dyDescent="0.15">
      <c r="A17" s="8">
        <v>110116</v>
      </c>
      <c r="B17" s="9" t="s">
        <v>5</v>
      </c>
      <c r="C17" s="9" t="s">
        <v>6</v>
      </c>
      <c r="D17" s="10" t="s">
        <v>21</v>
      </c>
    </row>
    <row r="18" spans="1:4" x14ac:dyDescent="0.15">
      <c r="A18" s="8">
        <v>110117</v>
      </c>
      <c r="B18" s="9" t="s">
        <v>5</v>
      </c>
      <c r="C18" s="9" t="s">
        <v>6</v>
      </c>
      <c r="D18" s="10" t="s">
        <v>22</v>
      </c>
    </row>
    <row r="19" spans="1:4" x14ac:dyDescent="0.15">
      <c r="A19" s="8">
        <v>110118</v>
      </c>
      <c r="B19" s="9" t="s">
        <v>5</v>
      </c>
      <c r="C19" s="9" t="s">
        <v>6</v>
      </c>
      <c r="D19" s="10" t="s">
        <v>23</v>
      </c>
    </row>
    <row r="20" spans="1:4" x14ac:dyDescent="0.15">
      <c r="A20" s="8">
        <v>110120</v>
      </c>
      <c r="B20" s="9" t="s">
        <v>5</v>
      </c>
      <c r="C20" s="9" t="s">
        <v>6</v>
      </c>
      <c r="D20" s="10" t="s">
        <v>24</v>
      </c>
    </row>
    <row r="21" spans="1:4" x14ac:dyDescent="0.15">
      <c r="A21" s="8">
        <v>110121</v>
      </c>
      <c r="B21" s="9" t="s">
        <v>5</v>
      </c>
      <c r="C21" s="9" t="s">
        <v>6</v>
      </c>
      <c r="D21" s="10" t="s">
        <v>25</v>
      </c>
    </row>
    <row r="22" spans="1:4" x14ac:dyDescent="0.15">
      <c r="A22" s="8">
        <v>110122</v>
      </c>
      <c r="B22" s="9" t="s">
        <v>5</v>
      </c>
      <c r="C22" s="9" t="s">
        <v>6</v>
      </c>
      <c r="D22" s="10" t="s">
        <v>26</v>
      </c>
    </row>
    <row r="23" spans="1:4" x14ac:dyDescent="0.15">
      <c r="A23" s="8">
        <v>110124</v>
      </c>
      <c r="B23" s="9" t="s">
        <v>5</v>
      </c>
      <c r="C23" s="9" t="s">
        <v>6</v>
      </c>
      <c r="D23" s="10" t="s">
        <v>27</v>
      </c>
    </row>
    <row r="24" spans="1:4" x14ac:dyDescent="0.15">
      <c r="A24" s="8">
        <v>110125</v>
      </c>
      <c r="B24" s="9" t="s">
        <v>5</v>
      </c>
      <c r="C24" s="9" t="s">
        <v>6</v>
      </c>
      <c r="D24" s="11" t="s">
        <v>28</v>
      </c>
    </row>
    <row r="25" spans="1:4" x14ac:dyDescent="0.15">
      <c r="A25" s="8">
        <v>110126</v>
      </c>
      <c r="B25" s="9" t="s">
        <v>5</v>
      </c>
      <c r="C25" s="9" t="s">
        <v>6</v>
      </c>
      <c r="D25" s="10" t="s">
        <v>29</v>
      </c>
    </row>
    <row r="26" spans="1:4" x14ac:dyDescent="0.15">
      <c r="A26" s="8">
        <v>110127</v>
      </c>
      <c r="B26" s="9" t="s">
        <v>5</v>
      </c>
      <c r="C26" s="9" t="s">
        <v>6</v>
      </c>
      <c r="D26" s="10" t="s">
        <v>30</v>
      </c>
    </row>
    <row r="27" spans="1:4" x14ac:dyDescent="0.15">
      <c r="A27" s="8">
        <v>110128</v>
      </c>
      <c r="B27" s="9" t="s">
        <v>5</v>
      </c>
      <c r="C27" s="9" t="s">
        <v>6</v>
      </c>
      <c r="D27" s="10" t="s">
        <v>31</v>
      </c>
    </row>
    <row r="28" spans="1:4" x14ac:dyDescent="0.15">
      <c r="A28" s="8">
        <v>110129</v>
      </c>
      <c r="B28" s="9" t="s">
        <v>5</v>
      </c>
      <c r="C28" s="9" t="s">
        <v>6</v>
      </c>
      <c r="D28" s="10" t="s">
        <v>32</v>
      </c>
    </row>
    <row r="29" spans="1:4" x14ac:dyDescent="0.15">
      <c r="A29" s="8">
        <v>110130</v>
      </c>
      <c r="B29" s="9" t="s">
        <v>5</v>
      </c>
      <c r="C29" s="9" t="s">
        <v>6</v>
      </c>
      <c r="D29" s="10" t="s">
        <v>33</v>
      </c>
    </row>
    <row r="30" spans="1:4" x14ac:dyDescent="0.15">
      <c r="A30" s="8">
        <v>110131</v>
      </c>
      <c r="B30" s="9" t="s">
        <v>5</v>
      </c>
      <c r="C30" s="9" t="s">
        <v>6</v>
      </c>
      <c r="D30" s="10" t="s">
        <v>34</v>
      </c>
    </row>
    <row r="31" spans="1:4" x14ac:dyDescent="0.15">
      <c r="A31" s="8">
        <v>110132</v>
      </c>
      <c r="B31" s="9" t="s">
        <v>5</v>
      </c>
      <c r="C31" s="9" t="s">
        <v>6</v>
      </c>
      <c r="D31" s="10" t="s">
        <v>35</v>
      </c>
    </row>
    <row r="32" spans="1:4" x14ac:dyDescent="0.15">
      <c r="A32" s="8">
        <v>110133</v>
      </c>
      <c r="B32" s="9" t="s">
        <v>5</v>
      </c>
      <c r="C32" s="9" t="s">
        <v>6</v>
      </c>
      <c r="D32" s="10" t="s">
        <v>36</v>
      </c>
    </row>
    <row r="33" spans="1:5" x14ac:dyDescent="0.15">
      <c r="A33" s="8">
        <v>110134</v>
      </c>
      <c r="B33" s="9" t="s">
        <v>5</v>
      </c>
      <c r="C33" s="9" t="s">
        <v>6</v>
      </c>
      <c r="D33" s="10" t="s">
        <v>37</v>
      </c>
    </row>
    <row r="34" spans="1:5" x14ac:dyDescent="0.15">
      <c r="A34" s="8">
        <v>110135</v>
      </c>
      <c r="B34" s="9" t="s">
        <v>5</v>
      </c>
      <c r="C34" s="9" t="s">
        <v>6</v>
      </c>
      <c r="D34" s="10" t="s">
        <v>38</v>
      </c>
    </row>
    <row r="35" spans="1:5" x14ac:dyDescent="0.15">
      <c r="A35" s="8">
        <v>110136</v>
      </c>
      <c r="B35" s="9" t="s">
        <v>5</v>
      </c>
      <c r="C35" s="9" t="s">
        <v>6</v>
      </c>
      <c r="D35" s="11" t="s">
        <v>39</v>
      </c>
    </row>
    <row r="36" spans="1:5" x14ac:dyDescent="0.15">
      <c r="A36" s="8">
        <v>110137</v>
      </c>
      <c r="B36" s="9" t="s">
        <v>5</v>
      </c>
      <c r="C36" s="9" t="s">
        <v>6</v>
      </c>
      <c r="D36" s="10" t="s">
        <v>40</v>
      </c>
    </row>
    <row r="37" spans="1:5" x14ac:dyDescent="0.15">
      <c r="A37" s="8">
        <v>110138</v>
      </c>
      <c r="B37" s="9" t="s">
        <v>5</v>
      </c>
      <c r="C37" s="9" t="s">
        <v>6</v>
      </c>
      <c r="D37" s="10" t="s">
        <v>41</v>
      </c>
    </row>
    <row r="38" spans="1:5" x14ac:dyDescent="0.15">
      <c r="A38" s="8">
        <v>110139</v>
      </c>
      <c r="B38" s="9" t="s">
        <v>5</v>
      </c>
      <c r="C38" s="9" t="s">
        <v>6</v>
      </c>
      <c r="D38" s="10" t="s">
        <v>42</v>
      </c>
      <c r="E38" s="1" t="s">
        <v>43</v>
      </c>
    </row>
    <row r="39" spans="1:5" x14ac:dyDescent="0.15">
      <c r="A39" s="12">
        <v>110140</v>
      </c>
      <c r="B39" s="13" t="s">
        <v>5</v>
      </c>
      <c r="C39" s="13" t="s">
        <v>6</v>
      </c>
      <c r="D39" s="14" t="s">
        <v>44</v>
      </c>
      <c r="E39" s="1" t="s">
        <v>45</v>
      </c>
    </row>
    <row r="40" spans="1:5" x14ac:dyDescent="0.15">
      <c r="A40" s="8">
        <v>110143</v>
      </c>
      <c r="B40" s="9" t="s">
        <v>5</v>
      </c>
      <c r="C40" s="9" t="s">
        <v>6</v>
      </c>
      <c r="D40" s="10" t="s">
        <v>46</v>
      </c>
    </row>
    <row r="41" spans="1:5" x14ac:dyDescent="0.15">
      <c r="A41" s="8">
        <v>110145</v>
      </c>
      <c r="B41" s="9" t="s">
        <v>5</v>
      </c>
      <c r="C41" s="9" t="s">
        <v>6</v>
      </c>
      <c r="D41" s="10" t="s">
        <v>47</v>
      </c>
    </row>
    <row r="42" spans="1:5" x14ac:dyDescent="0.15">
      <c r="A42" s="8">
        <v>110146</v>
      </c>
      <c r="B42" s="9" t="s">
        <v>5</v>
      </c>
      <c r="C42" s="9" t="s">
        <v>6</v>
      </c>
      <c r="D42" s="10" t="s">
        <v>48</v>
      </c>
    </row>
    <row r="43" spans="1:5" x14ac:dyDescent="0.15">
      <c r="A43" s="8">
        <v>110201</v>
      </c>
      <c r="B43" s="9" t="s">
        <v>5</v>
      </c>
      <c r="C43" s="9" t="s">
        <v>49</v>
      </c>
      <c r="D43" s="10" t="s">
        <v>50</v>
      </c>
    </row>
    <row r="44" spans="1:5" x14ac:dyDescent="0.15">
      <c r="A44" s="8">
        <v>110202</v>
      </c>
      <c r="B44" s="9" t="s">
        <v>5</v>
      </c>
      <c r="C44" s="9" t="s">
        <v>49</v>
      </c>
      <c r="D44" s="10" t="s">
        <v>51</v>
      </c>
    </row>
    <row r="45" spans="1:5" x14ac:dyDescent="0.15">
      <c r="A45" s="8">
        <v>110204</v>
      </c>
      <c r="B45" s="9" t="s">
        <v>5</v>
      </c>
      <c r="C45" s="9" t="s">
        <v>49</v>
      </c>
      <c r="D45" s="10" t="s">
        <v>52</v>
      </c>
    </row>
    <row r="46" spans="1:5" x14ac:dyDescent="0.15">
      <c r="A46" s="8">
        <v>110301</v>
      </c>
      <c r="B46" s="9" t="s">
        <v>5</v>
      </c>
      <c r="C46" s="9" t="s">
        <v>53</v>
      </c>
      <c r="D46" s="10" t="s">
        <v>54</v>
      </c>
    </row>
    <row r="47" spans="1:5" x14ac:dyDescent="0.15">
      <c r="A47" s="8">
        <v>110302</v>
      </c>
      <c r="B47" s="9" t="s">
        <v>5</v>
      </c>
      <c r="C47" s="9" t="s">
        <v>53</v>
      </c>
      <c r="D47" s="10" t="s">
        <v>55</v>
      </c>
    </row>
    <row r="48" spans="1:5" x14ac:dyDescent="0.15">
      <c r="A48" s="8">
        <v>110304</v>
      </c>
      <c r="B48" s="9" t="s">
        <v>5</v>
      </c>
      <c r="C48" s="9" t="s">
        <v>53</v>
      </c>
      <c r="D48" s="10" t="s">
        <v>56</v>
      </c>
    </row>
    <row r="49" spans="1:9" x14ac:dyDescent="0.15">
      <c r="A49" s="8">
        <v>110306</v>
      </c>
      <c r="B49" s="9" t="s">
        <v>5</v>
      </c>
      <c r="C49" s="9" t="s">
        <v>53</v>
      </c>
      <c r="D49" s="10" t="s">
        <v>57</v>
      </c>
    </row>
    <row r="50" spans="1:9" x14ac:dyDescent="0.15">
      <c r="A50" s="8">
        <v>110308</v>
      </c>
      <c r="B50" s="9" t="s">
        <v>5</v>
      </c>
      <c r="C50" s="9" t="s">
        <v>53</v>
      </c>
      <c r="D50" s="10" t="s">
        <v>58</v>
      </c>
    </row>
    <row r="51" spans="1:9" x14ac:dyDescent="0.15">
      <c r="A51" s="8">
        <v>110401</v>
      </c>
      <c r="B51" s="9" t="s">
        <v>5</v>
      </c>
      <c r="C51" s="9" t="s">
        <v>59</v>
      </c>
      <c r="D51" s="10" t="s">
        <v>60</v>
      </c>
    </row>
    <row r="52" spans="1:9" x14ac:dyDescent="0.15">
      <c r="A52" s="8">
        <v>110402</v>
      </c>
      <c r="B52" s="9" t="s">
        <v>5</v>
      </c>
      <c r="C52" s="9" t="s">
        <v>59</v>
      </c>
      <c r="D52" s="10" t="s">
        <v>61</v>
      </c>
      <c r="I52" s="15"/>
    </row>
    <row r="53" spans="1:9" x14ac:dyDescent="0.15">
      <c r="A53" s="8">
        <v>110404</v>
      </c>
      <c r="B53" s="9" t="s">
        <v>5</v>
      </c>
      <c r="C53" s="9" t="s">
        <v>59</v>
      </c>
      <c r="D53" s="10" t="s">
        <v>62</v>
      </c>
      <c r="I53" s="15"/>
    </row>
    <row r="54" spans="1:9" x14ac:dyDescent="0.15">
      <c r="A54" s="8">
        <v>110405</v>
      </c>
      <c r="B54" s="9" t="s">
        <v>5</v>
      </c>
      <c r="C54" s="9" t="s">
        <v>59</v>
      </c>
      <c r="D54" s="10" t="s">
        <v>63</v>
      </c>
      <c r="I54" s="15"/>
    </row>
    <row r="55" spans="1:9" x14ac:dyDescent="0.15">
      <c r="A55" s="8">
        <v>110501</v>
      </c>
      <c r="B55" s="9" t="s">
        <v>5</v>
      </c>
      <c r="C55" s="9" t="s">
        <v>64</v>
      </c>
      <c r="D55" s="10" t="s">
        <v>65</v>
      </c>
      <c r="I55" s="15"/>
    </row>
    <row r="56" spans="1:9" x14ac:dyDescent="0.15">
      <c r="A56" s="8">
        <v>110502</v>
      </c>
      <c r="B56" s="9" t="s">
        <v>5</v>
      </c>
      <c r="C56" s="9" t="s">
        <v>64</v>
      </c>
      <c r="D56" s="10" t="s">
        <v>66</v>
      </c>
      <c r="I56" s="15"/>
    </row>
    <row r="57" spans="1:9" x14ac:dyDescent="0.15">
      <c r="A57" s="8">
        <v>110503</v>
      </c>
      <c r="B57" s="9" t="s">
        <v>5</v>
      </c>
      <c r="C57" s="9" t="s">
        <v>64</v>
      </c>
      <c r="D57" s="10" t="s">
        <v>67</v>
      </c>
      <c r="I57" s="15"/>
    </row>
    <row r="58" spans="1:9" x14ac:dyDescent="0.15">
      <c r="A58" s="8">
        <v>110504</v>
      </c>
      <c r="B58" s="9" t="s">
        <v>5</v>
      </c>
      <c r="C58" s="9" t="s">
        <v>64</v>
      </c>
      <c r="D58" s="10" t="s">
        <v>68</v>
      </c>
      <c r="I58" s="15"/>
    </row>
    <row r="59" spans="1:9" x14ac:dyDescent="0.15">
      <c r="A59" s="8">
        <v>110505</v>
      </c>
      <c r="B59" s="9" t="s">
        <v>5</v>
      </c>
      <c r="C59" s="9" t="s">
        <v>64</v>
      </c>
      <c r="D59" s="10" t="s">
        <v>69</v>
      </c>
      <c r="I59" s="15"/>
    </row>
    <row r="60" spans="1:9" x14ac:dyDescent="0.15">
      <c r="A60" s="8">
        <v>110506</v>
      </c>
      <c r="B60" s="9" t="s">
        <v>5</v>
      </c>
      <c r="C60" s="9" t="s">
        <v>64</v>
      </c>
      <c r="D60" s="10" t="s">
        <v>70</v>
      </c>
    </row>
    <row r="61" spans="1:9" x14ac:dyDescent="0.15">
      <c r="A61" s="8">
        <v>110507</v>
      </c>
      <c r="B61" s="9" t="s">
        <v>5</v>
      </c>
      <c r="C61" s="9" t="s">
        <v>64</v>
      </c>
      <c r="D61" s="10" t="s">
        <v>71</v>
      </c>
    </row>
    <row r="62" spans="1:9" x14ac:dyDescent="0.15">
      <c r="A62" s="8">
        <v>110508</v>
      </c>
      <c r="B62" s="9" t="s">
        <v>5</v>
      </c>
      <c r="C62" s="9" t="s">
        <v>64</v>
      </c>
      <c r="D62" s="10" t="s">
        <v>72</v>
      </c>
    </row>
    <row r="63" spans="1:9" x14ac:dyDescent="0.15">
      <c r="A63" s="8">
        <v>110509</v>
      </c>
      <c r="B63" s="9" t="s">
        <v>73</v>
      </c>
      <c r="C63" s="9" t="s">
        <v>74</v>
      </c>
      <c r="D63" s="10" t="s">
        <v>75</v>
      </c>
    </row>
    <row r="64" spans="1:9" x14ac:dyDescent="0.15">
      <c r="A64" s="8">
        <v>110601</v>
      </c>
      <c r="B64" s="9" t="s">
        <v>5</v>
      </c>
      <c r="C64" s="9" t="s">
        <v>76</v>
      </c>
      <c r="D64" s="10" t="s">
        <v>77</v>
      </c>
    </row>
    <row r="65" spans="1:4" x14ac:dyDescent="0.15">
      <c r="A65" s="16">
        <v>110602</v>
      </c>
      <c r="B65" s="17" t="s">
        <v>5</v>
      </c>
      <c r="C65" s="17" t="s">
        <v>76</v>
      </c>
      <c r="D65" s="11" t="s">
        <v>78</v>
      </c>
    </row>
    <row r="66" spans="1:4" x14ac:dyDescent="0.15">
      <c r="A66" s="8">
        <v>110603</v>
      </c>
      <c r="B66" s="9" t="s">
        <v>5</v>
      </c>
      <c r="C66" s="9" t="s">
        <v>76</v>
      </c>
      <c r="D66" s="10" t="s">
        <v>79</v>
      </c>
    </row>
    <row r="67" spans="1:4" x14ac:dyDescent="0.15">
      <c r="A67" s="16">
        <v>110604</v>
      </c>
      <c r="B67" s="17" t="s">
        <v>5</v>
      </c>
      <c r="C67" s="17" t="s">
        <v>76</v>
      </c>
      <c r="D67" s="11" t="s">
        <v>80</v>
      </c>
    </row>
    <row r="68" spans="1:4" x14ac:dyDescent="0.15">
      <c r="A68" s="8">
        <v>110607</v>
      </c>
      <c r="B68" s="9" t="s">
        <v>5</v>
      </c>
      <c r="C68" s="9" t="s">
        <v>76</v>
      </c>
      <c r="D68" s="10" t="s">
        <v>81</v>
      </c>
    </row>
    <row r="69" spans="1:4" x14ac:dyDescent="0.15">
      <c r="A69" s="8">
        <v>110701</v>
      </c>
      <c r="B69" s="9" t="s">
        <v>5</v>
      </c>
      <c r="C69" s="9" t="s">
        <v>82</v>
      </c>
      <c r="D69" s="10" t="s">
        <v>83</v>
      </c>
    </row>
    <row r="70" spans="1:4" x14ac:dyDescent="0.15">
      <c r="A70" s="8">
        <v>110702</v>
      </c>
      <c r="B70" s="9" t="s">
        <v>5</v>
      </c>
      <c r="C70" s="9" t="s">
        <v>82</v>
      </c>
      <c r="D70" s="10" t="s">
        <v>84</v>
      </c>
    </row>
    <row r="71" spans="1:4" x14ac:dyDescent="0.15">
      <c r="A71" s="8">
        <v>110703</v>
      </c>
      <c r="B71" s="9" t="s">
        <v>5</v>
      </c>
      <c r="C71" s="9" t="s">
        <v>82</v>
      </c>
      <c r="D71" s="10" t="s">
        <v>85</v>
      </c>
    </row>
    <row r="72" spans="1:4" x14ac:dyDescent="0.15">
      <c r="A72" s="8">
        <v>110704</v>
      </c>
      <c r="B72" s="9" t="s">
        <v>5</v>
      </c>
      <c r="C72" s="9" t="s">
        <v>82</v>
      </c>
      <c r="D72" s="10" t="s">
        <v>86</v>
      </c>
    </row>
    <row r="73" spans="1:4" x14ac:dyDescent="0.15">
      <c r="A73" s="8">
        <v>110801</v>
      </c>
      <c r="B73" s="9" t="s">
        <v>5</v>
      </c>
      <c r="C73" s="9" t="s">
        <v>87</v>
      </c>
      <c r="D73" s="10" t="s">
        <v>88</v>
      </c>
    </row>
    <row r="74" spans="1:4" x14ac:dyDescent="0.15">
      <c r="A74" s="8">
        <v>110802</v>
      </c>
      <c r="B74" s="9" t="s">
        <v>5</v>
      </c>
      <c r="C74" s="9" t="s">
        <v>87</v>
      </c>
      <c r="D74" s="10" t="s">
        <v>89</v>
      </c>
    </row>
    <row r="75" spans="1:4" x14ac:dyDescent="0.15">
      <c r="A75" s="8">
        <v>110803</v>
      </c>
      <c r="B75" s="9" t="s">
        <v>5</v>
      </c>
      <c r="C75" s="9" t="s">
        <v>87</v>
      </c>
      <c r="D75" s="10" t="s">
        <v>90</v>
      </c>
    </row>
    <row r="76" spans="1:4" x14ac:dyDescent="0.15">
      <c r="A76" s="8">
        <v>110804</v>
      </c>
      <c r="B76" s="9" t="s">
        <v>5</v>
      </c>
      <c r="C76" s="9" t="s">
        <v>87</v>
      </c>
      <c r="D76" s="10" t="s">
        <v>91</v>
      </c>
    </row>
    <row r="77" spans="1:4" x14ac:dyDescent="0.15">
      <c r="A77" s="8">
        <v>110805</v>
      </c>
      <c r="B77" s="9" t="s">
        <v>5</v>
      </c>
      <c r="C77" s="9" t="s">
        <v>87</v>
      </c>
      <c r="D77" s="10" t="s">
        <v>92</v>
      </c>
    </row>
    <row r="78" spans="1:4" x14ac:dyDescent="0.15">
      <c r="A78" s="8">
        <v>110806</v>
      </c>
      <c r="B78" s="9" t="s">
        <v>5</v>
      </c>
      <c r="C78" s="9" t="s">
        <v>87</v>
      </c>
      <c r="D78" s="10" t="s">
        <v>93</v>
      </c>
    </row>
    <row r="79" spans="1:4" x14ac:dyDescent="0.15">
      <c r="A79" s="8">
        <v>110807</v>
      </c>
      <c r="B79" s="9" t="s">
        <v>5</v>
      </c>
      <c r="C79" s="9" t="s">
        <v>87</v>
      </c>
      <c r="D79" s="10" t="s">
        <v>94</v>
      </c>
    </row>
    <row r="80" spans="1:4" x14ac:dyDescent="0.15">
      <c r="A80" s="8">
        <v>110808</v>
      </c>
      <c r="B80" s="9" t="s">
        <v>5</v>
      </c>
      <c r="C80" s="9" t="s">
        <v>87</v>
      </c>
      <c r="D80" s="10" t="s">
        <v>95</v>
      </c>
    </row>
    <row r="81" spans="1:4" x14ac:dyDescent="0.15">
      <c r="A81" s="8">
        <v>110809</v>
      </c>
      <c r="B81" s="9" t="s">
        <v>5</v>
      </c>
      <c r="C81" s="9" t="s">
        <v>87</v>
      </c>
      <c r="D81" s="10" t="s">
        <v>96</v>
      </c>
    </row>
    <row r="82" spans="1:4" ht="14.25" thickBot="1" x14ac:dyDescent="0.2">
      <c r="A82" s="18">
        <v>110810</v>
      </c>
      <c r="B82" s="19" t="s">
        <v>5</v>
      </c>
      <c r="C82" s="19" t="s">
        <v>87</v>
      </c>
      <c r="D82" s="20" t="s">
        <v>97</v>
      </c>
    </row>
    <row r="83" spans="1:4" x14ac:dyDescent="0.15">
      <c r="A83" s="16">
        <v>120901</v>
      </c>
      <c r="B83" s="17" t="s">
        <v>98</v>
      </c>
      <c r="C83" s="17" t="s">
        <v>99</v>
      </c>
      <c r="D83" s="11" t="s">
        <v>100</v>
      </c>
    </row>
    <row r="84" spans="1:4" x14ac:dyDescent="0.15">
      <c r="A84" s="8">
        <v>120902</v>
      </c>
      <c r="B84" s="9" t="s">
        <v>98</v>
      </c>
      <c r="C84" s="9" t="s">
        <v>99</v>
      </c>
      <c r="D84" s="10" t="s">
        <v>101</v>
      </c>
    </row>
    <row r="85" spans="1:4" x14ac:dyDescent="0.15">
      <c r="A85" s="8">
        <v>120903</v>
      </c>
      <c r="B85" s="9" t="s">
        <v>98</v>
      </c>
      <c r="C85" s="9" t="s">
        <v>99</v>
      </c>
      <c r="D85" s="10" t="s">
        <v>102</v>
      </c>
    </row>
    <row r="86" spans="1:4" x14ac:dyDescent="0.15">
      <c r="A86" s="8">
        <v>120904</v>
      </c>
      <c r="B86" s="9" t="s">
        <v>98</v>
      </c>
      <c r="C86" s="9" t="s">
        <v>99</v>
      </c>
      <c r="D86" s="10" t="s">
        <v>103</v>
      </c>
    </row>
    <row r="87" spans="1:4" x14ac:dyDescent="0.15">
      <c r="A87" s="8">
        <v>120905</v>
      </c>
      <c r="B87" s="9" t="s">
        <v>98</v>
      </c>
      <c r="C87" s="9" t="s">
        <v>99</v>
      </c>
      <c r="D87" s="10" t="s">
        <v>104</v>
      </c>
    </row>
    <row r="88" spans="1:4" x14ac:dyDescent="0.15">
      <c r="A88" s="8">
        <v>120906</v>
      </c>
      <c r="B88" s="9" t="s">
        <v>98</v>
      </c>
      <c r="C88" s="9" t="s">
        <v>99</v>
      </c>
      <c r="D88" s="10" t="s">
        <v>105</v>
      </c>
    </row>
    <row r="89" spans="1:4" x14ac:dyDescent="0.15">
      <c r="A89" s="8">
        <v>120907</v>
      </c>
      <c r="B89" s="9" t="s">
        <v>98</v>
      </c>
      <c r="C89" s="9" t="s">
        <v>99</v>
      </c>
      <c r="D89" s="10" t="s">
        <v>106</v>
      </c>
    </row>
    <row r="90" spans="1:4" x14ac:dyDescent="0.15">
      <c r="A90" s="8">
        <v>120908</v>
      </c>
      <c r="B90" s="9" t="s">
        <v>98</v>
      </c>
      <c r="C90" s="9" t="s">
        <v>99</v>
      </c>
      <c r="D90" s="10" t="s">
        <v>107</v>
      </c>
    </row>
    <row r="91" spans="1:4" x14ac:dyDescent="0.15">
      <c r="A91" s="8">
        <v>120909</v>
      </c>
      <c r="B91" s="9" t="s">
        <v>98</v>
      </c>
      <c r="C91" s="9" t="s">
        <v>99</v>
      </c>
      <c r="D91" s="10" t="s">
        <v>108</v>
      </c>
    </row>
    <row r="92" spans="1:4" x14ac:dyDescent="0.15">
      <c r="A92" s="8">
        <v>120910</v>
      </c>
      <c r="B92" s="17" t="s">
        <v>98</v>
      </c>
      <c r="C92" s="17" t="s">
        <v>99</v>
      </c>
      <c r="D92" s="11" t="s">
        <v>109</v>
      </c>
    </row>
    <row r="93" spans="1:4" x14ac:dyDescent="0.15">
      <c r="A93" s="8">
        <v>120912</v>
      </c>
      <c r="B93" s="9" t="s">
        <v>98</v>
      </c>
      <c r="C93" s="9" t="s">
        <v>99</v>
      </c>
      <c r="D93" s="10" t="s">
        <v>110</v>
      </c>
    </row>
    <row r="94" spans="1:4" x14ac:dyDescent="0.15">
      <c r="A94" s="8">
        <v>120915</v>
      </c>
      <c r="B94" s="9" t="s">
        <v>98</v>
      </c>
      <c r="C94" s="9" t="s">
        <v>99</v>
      </c>
      <c r="D94" s="10" t="s">
        <v>111</v>
      </c>
    </row>
    <row r="95" spans="1:4" x14ac:dyDescent="0.15">
      <c r="A95" s="8">
        <v>120916</v>
      </c>
      <c r="B95" s="9" t="s">
        <v>98</v>
      </c>
      <c r="C95" s="9" t="s">
        <v>99</v>
      </c>
      <c r="D95" s="10" t="s">
        <v>112</v>
      </c>
    </row>
    <row r="96" spans="1:4" x14ac:dyDescent="0.15">
      <c r="A96" s="8">
        <v>120917</v>
      </c>
      <c r="B96" s="9" t="s">
        <v>98</v>
      </c>
      <c r="C96" s="9" t="s">
        <v>99</v>
      </c>
      <c r="D96" s="10" t="s">
        <v>113</v>
      </c>
    </row>
    <row r="97" spans="1:4" x14ac:dyDescent="0.15">
      <c r="A97" s="8">
        <v>120918</v>
      </c>
      <c r="B97" s="9" t="s">
        <v>98</v>
      </c>
      <c r="C97" s="9" t="s">
        <v>99</v>
      </c>
      <c r="D97" s="10" t="s">
        <v>114</v>
      </c>
    </row>
    <row r="98" spans="1:4" x14ac:dyDescent="0.15">
      <c r="A98" s="8">
        <v>120919</v>
      </c>
      <c r="B98" s="9" t="s">
        <v>98</v>
      </c>
      <c r="C98" s="9" t="s">
        <v>99</v>
      </c>
      <c r="D98" s="10" t="s">
        <v>115</v>
      </c>
    </row>
    <row r="99" spans="1:4" x14ac:dyDescent="0.15">
      <c r="A99" s="8">
        <v>121001</v>
      </c>
      <c r="B99" s="9" t="s">
        <v>98</v>
      </c>
      <c r="C99" s="9" t="s">
        <v>116</v>
      </c>
      <c r="D99" s="10" t="s">
        <v>117</v>
      </c>
    </row>
    <row r="100" spans="1:4" x14ac:dyDescent="0.15">
      <c r="A100" s="8">
        <v>121002</v>
      </c>
      <c r="B100" s="9" t="s">
        <v>98</v>
      </c>
      <c r="C100" s="9" t="s">
        <v>116</v>
      </c>
      <c r="D100" s="10" t="s">
        <v>118</v>
      </c>
    </row>
    <row r="101" spans="1:4" x14ac:dyDescent="0.15">
      <c r="A101" s="8">
        <v>121003</v>
      </c>
      <c r="B101" s="9" t="s">
        <v>98</v>
      </c>
      <c r="C101" s="9" t="s">
        <v>116</v>
      </c>
      <c r="D101" s="10" t="s">
        <v>119</v>
      </c>
    </row>
    <row r="102" spans="1:4" x14ac:dyDescent="0.15">
      <c r="A102" s="8">
        <v>121004</v>
      </c>
      <c r="B102" s="9" t="s">
        <v>98</v>
      </c>
      <c r="C102" s="9" t="s">
        <v>116</v>
      </c>
      <c r="D102" s="10" t="s">
        <v>120</v>
      </c>
    </row>
    <row r="103" spans="1:4" x14ac:dyDescent="0.15">
      <c r="A103" s="8">
        <v>121005</v>
      </c>
      <c r="B103" s="9" t="s">
        <v>98</v>
      </c>
      <c r="C103" s="9" t="s">
        <v>116</v>
      </c>
      <c r="D103" s="10" t="s">
        <v>121</v>
      </c>
    </row>
    <row r="104" spans="1:4" x14ac:dyDescent="0.15">
      <c r="A104" s="8">
        <v>121006</v>
      </c>
      <c r="B104" s="9" t="s">
        <v>98</v>
      </c>
      <c r="C104" s="9" t="s">
        <v>116</v>
      </c>
      <c r="D104" s="10" t="s">
        <v>122</v>
      </c>
    </row>
    <row r="105" spans="1:4" x14ac:dyDescent="0.15">
      <c r="A105" s="8">
        <v>121007</v>
      </c>
      <c r="B105" s="9" t="s">
        <v>98</v>
      </c>
      <c r="C105" s="9" t="s">
        <v>116</v>
      </c>
      <c r="D105" s="10" t="s">
        <v>123</v>
      </c>
    </row>
    <row r="106" spans="1:4" x14ac:dyDescent="0.15">
      <c r="A106" s="8">
        <v>121008</v>
      </c>
      <c r="B106" s="9" t="s">
        <v>98</v>
      </c>
      <c r="C106" s="9" t="s">
        <v>116</v>
      </c>
      <c r="D106" s="10" t="s">
        <v>124</v>
      </c>
    </row>
    <row r="107" spans="1:4" x14ac:dyDescent="0.15">
      <c r="A107" s="8">
        <v>121009</v>
      </c>
      <c r="B107" s="9" t="s">
        <v>98</v>
      </c>
      <c r="C107" s="9" t="s">
        <v>116</v>
      </c>
      <c r="D107" s="10" t="s">
        <v>125</v>
      </c>
    </row>
    <row r="108" spans="1:4" x14ac:dyDescent="0.15">
      <c r="A108" s="8">
        <v>121010</v>
      </c>
      <c r="B108" s="9" t="s">
        <v>98</v>
      </c>
      <c r="C108" s="9" t="s">
        <v>116</v>
      </c>
      <c r="D108" s="10" t="s">
        <v>126</v>
      </c>
    </row>
    <row r="109" spans="1:4" x14ac:dyDescent="0.15">
      <c r="A109" s="8">
        <v>121011</v>
      </c>
      <c r="B109" s="9" t="s">
        <v>98</v>
      </c>
      <c r="C109" s="9" t="s">
        <v>116</v>
      </c>
      <c r="D109" s="10" t="s">
        <v>127</v>
      </c>
    </row>
    <row r="110" spans="1:4" x14ac:dyDescent="0.15">
      <c r="A110" s="8">
        <v>121101</v>
      </c>
      <c r="B110" s="9" t="s">
        <v>98</v>
      </c>
      <c r="C110" s="9" t="s">
        <v>128</v>
      </c>
      <c r="D110" s="11" t="s">
        <v>129</v>
      </c>
    </row>
    <row r="111" spans="1:4" x14ac:dyDescent="0.15">
      <c r="A111" s="8">
        <v>121102</v>
      </c>
      <c r="B111" s="9" t="s">
        <v>98</v>
      </c>
      <c r="C111" s="9" t="s">
        <v>128</v>
      </c>
      <c r="D111" s="10" t="s">
        <v>130</v>
      </c>
    </row>
    <row r="112" spans="1:4" x14ac:dyDescent="0.15">
      <c r="A112" s="16">
        <v>121103</v>
      </c>
      <c r="B112" s="17" t="s">
        <v>98</v>
      </c>
      <c r="C112" s="17" t="s">
        <v>128</v>
      </c>
      <c r="D112" s="10" t="s">
        <v>131</v>
      </c>
    </row>
    <row r="113" spans="1:4" x14ac:dyDescent="0.15">
      <c r="A113" s="8">
        <v>121104</v>
      </c>
      <c r="B113" s="9" t="s">
        <v>98</v>
      </c>
      <c r="C113" s="9" t="s">
        <v>128</v>
      </c>
      <c r="D113" s="10" t="s">
        <v>132</v>
      </c>
    </row>
    <row r="114" spans="1:4" x14ac:dyDescent="0.15">
      <c r="A114" s="16">
        <v>121105</v>
      </c>
      <c r="B114" s="9" t="s">
        <v>98</v>
      </c>
      <c r="C114" s="9" t="s">
        <v>128</v>
      </c>
      <c r="D114" s="10" t="s">
        <v>133</v>
      </c>
    </row>
    <row r="115" spans="1:4" x14ac:dyDescent="0.15">
      <c r="A115" s="8">
        <v>121106</v>
      </c>
      <c r="B115" s="9" t="s">
        <v>98</v>
      </c>
      <c r="C115" s="9" t="s">
        <v>128</v>
      </c>
      <c r="D115" s="10" t="s">
        <v>134</v>
      </c>
    </row>
    <row r="116" spans="1:4" x14ac:dyDescent="0.15">
      <c r="A116" s="16">
        <v>121107</v>
      </c>
      <c r="B116" s="9" t="s">
        <v>98</v>
      </c>
      <c r="C116" s="9" t="s">
        <v>128</v>
      </c>
      <c r="D116" s="10" t="s">
        <v>135</v>
      </c>
    </row>
    <row r="117" spans="1:4" x14ac:dyDescent="0.15">
      <c r="A117" s="16">
        <v>121111</v>
      </c>
      <c r="B117" s="9" t="s">
        <v>98</v>
      </c>
      <c r="C117" s="9" t="s">
        <v>128</v>
      </c>
      <c r="D117" s="10" t="s">
        <v>136</v>
      </c>
    </row>
    <row r="118" spans="1:4" x14ac:dyDescent="0.15">
      <c r="A118" s="8">
        <v>121112</v>
      </c>
      <c r="B118" s="9" t="s">
        <v>98</v>
      </c>
      <c r="C118" s="9" t="s">
        <v>128</v>
      </c>
      <c r="D118" s="10" t="s">
        <v>137</v>
      </c>
    </row>
    <row r="119" spans="1:4" x14ac:dyDescent="0.15">
      <c r="A119" s="16">
        <v>121113</v>
      </c>
      <c r="B119" s="9" t="s">
        <v>98</v>
      </c>
      <c r="C119" s="9" t="s">
        <v>128</v>
      </c>
      <c r="D119" s="10" t="s">
        <v>138</v>
      </c>
    </row>
    <row r="120" spans="1:4" x14ac:dyDescent="0.15">
      <c r="A120" s="8">
        <v>121114</v>
      </c>
      <c r="B120" s="9" t="s">
        <v>98</v>
      </c>
      <c r="C120" s="9" t="s">
        <v>128</v>
      </c>
      <c r="D120" s="10" t="s">
        <v>139</v>
      </c>
    </row>
    <row r="121" spans="1:4" x14ac:dyDescent="0.15">
      <c r="A121" s="16">
        <v>121115</v>
      </c>
      <c r="B121" s="9" t="s">
        <v>98</v>
      </c>
      <c r="C121" s="9" t="s">
        <v>128</v>
      </c>
      <c r="D121" s="10" t="s">
        <v>140</v>
      </c>
    </row>
    <row r="122" spans="1:4" x14ac:dyDescent="0.15">
      <c r="A122" s="8">
        <v>121116</v>
      </c>
      <c r="B122" s="9" t="s">
        <v>98</v>
      </c>
      <c r="C122" s="9" t="s">
        <v>128</v>
      </c>
      <c r="D122" s="10" t="s">
        <v>141</v>
      </c>
    </row>
    <row r="123" spans="1:4" x14ac:dyDescent="0.15">
      <c r="A123" s="16">
        <v>121117</v>
      </c>
      <c r="B123" s="9" t="s">
        <v>98</v>
      </c>
      <c r="C123" s="9" t="s">
        <v>128</v>
      </c>
      <c r="D123" s="10" t="s">
        <v>142</v>
      </c>
    </row>
    <row r="124" spans="1:4" x14ac:dyDescent="0.15">
      <c r="A124" s="8">
        <v>121201</v>
      </c>
      <c r="B124" s="9" t="s">
        <v>98</v>
      </c>
      <c r="C124" s="9" t="s">
        <v>143</v>
      </c>
      <c r="D124" s="10" t="s">
        <v>144</v>
      </c>
    </row>
    <row r="125" spans="1:4" ht="14.25" thickBot="1" x14ac:dyDescent="0.2">
      <c r="A125" s="18">
        <v>121202</v>
      </c>
      <c r="B125" s="19" t="s">
        <v>98</v>
      </c>
      <c r="C125" s="19" t="s">
        <v>143</v>
      </c>
      <c r="D125" s="20" t="s">
        <v>145</v>
      </c>
    </row>
    <row r="126" spans="1:4" x14ac:dyDescent="0.15">
      <c r="A126" s="16">
        <v>121301</v>
      </c>
      <c r="B126" s="17" t="s">
        <v>146</v>
      </c>
      <c r="C126" s="17" t="s">
        <v>147</v>
      </c>
      <c r="D126" s="11" t="s">
        <v>148</v>
      </c>
    </row>
    <row r="127" spans="1:4" x14ac:dyDescent="0.15">
      <c r="A127" s="8">
        <v>121302</v>
      </c>
      <c r="B127" s="9" t="s">
        <v>146</v>
      </c>
      <c r="C127" s="9" t="s">
        <v>147</v>
      </c>
      <c r="D127" s="10" t="s">
        <v>149</v>
      </c>
    </row>
    <row r="128" spans="1:4" x14ac:dyDescent="0.15">
      <c r="A128" s="8">
        <v>121303</v>
      </c>
      <c r="B128" s="9" t="s">
        <v>146</v>
      </c>
      <c r="C128" s="9" t="s">
        <v>147</v>
      </c>
      <c r="D128" s="10" t="s">
        <v>150</v>
      </c>
    </row>
    <row r="129" spans="1:4" x14ac:dyDescent="0.15">
      <c r="A129" s="8">
        <v>121304</v>
      </c>
      <c r="B129" s="9" t="s">
        <v>146</v>
      </c>
      <c r="C129" s="9" t="s">
        <v>147</v>
      </c>
      <c r="D129" s="10" t="s">
        <v>151</v>
      </c>
    </row>
    <row r="130" spans="1:4" x14ac:dyDescent="0.15">
      <c r="A130" s="16">
        <v>121305</v>
      </c>
      <c r="B130" s="17" t="s">
        <v>146</v>
      </c>
      <c r="C130" s="17" t="s">
        <v>147</v>
      </c>
      <c r="D130" s="11" t="s">
        <v>152</v>
      </c>
    </row>
    <row r="131" spans="1:4" x14ac:dyDescent="0.15">
      <c r="A131" s="8">
        <v>121306</v>
      </c>
      <c r="B131" s="9" t="s">
        <v>146</v>
      </c>
      <c r="C131" s="9" t="s">
        <v>147</v>
      </c>
      <c r="D131" s="10" t="s">
        <v>153</v>
      </c>
    </row>
    <row r="132" spans="1:4" x14ac:dyDescent="0.15">
      <c r="A132" s="8">
        <v>121307</v>
      </c>
      <c r="B132" s="9" t="s">
        <v>146</v>
      </c>
      <c r="C132" s="9" t="s">
        <v>147</v>
      </c>
      <c r="D132" s="10" t="s">
        <v>154</v>
      </c>
    </row>
    <row r="133" spans="1:4" x14ac:dyDescent="0.15">
      <c r="A133" s="8">
        <v>121309</v>
      </c>
      <c r="B133" s="9" t="s">
        <v>146</v>
      </c>
      <c r="C133" s="9" t="s">
        <v>147</v>
      </c>
      <c r="D133" s="10" t="s">
        <v>155</v>
      </c>
    </row>
    <row r="134" spans="1:4" x14ac:dyDescent="0.15">
      <c r="A134" s="8">
        <v>121310</v>
      </c>
      <c r="B134" s="9" t="s">
        <v>146</v>
      </c>
      <c r="C134" s="9" t="s">
        <v>147</v>
      </c>
      <c r="D134" s="10" t="s">
        <v>156</v>
      </c>
    </row>
    <row r="135" spans="1:4" x14ac:dyDescent="0.15">
      <c r="A135" s="8">
        <v>121311</v>
      </c>
      <c r="B135" s="9" t="s">
        <v>146</v>
      </c>
      <c r="C135" s="9" t="s">
        <v>147</v>
      </c>
      <c r="D135" s="10" t="s">
        <v>157</v>
      </c>
    </row>
    <row r="136" spans="1:4" x14ac:dyDescent="0.15">
      <c r="A136" s="8">
        <v>121317</v>
      </c>
      <c r="B136" s="9" t="s">
        <v>146</v>
      </c>
      <c r="C136" s="9" t="s">
        <v>147</v>
      </c>
      <c r="D136" s="10" t="s">
        <v>158</v>
      </c>
    </row>
    <row r="137" spans="1:4" x14ac:dyDescent="0.15">
      <c r="A137" s="8">
        <v>121320</v>
      </c>
      <c r="B137" s="9" t="s">
        <v>146</v>
      </c>
      <c r="C137" s="9" t="s">
        <v>147</v>
      </c>
      <c r="D137" s="10" t="s">
        <v>159</v>
      </c>
    </row>
    <row r="138" spans="1:4" x14ac:dyDescent="0.15">
      <c r="A138" s="8">
        <v>121321</v>
      </c>
      <c r="B138" s="9" t="s">
        <v>146</v>
      </c>
      <c r="C138" s="9" t="s">
        <v>147</v>
      </c>
      <c r="D138" s="10" t="s">
        <v>160</v>
      </c>
    </row>
    <row r="139" spans="1:4" x14ac:dyDescent="0.15">
      <c r="A139" s="8">
        <v>121328</v>
      </c>
      <c r="B139" s="9" t="s">
        <v>146</v>
      </c>
      <c r="C139" s="9" t="s">
        <v>147</v>
      </c>
      <c r="D139" s="10" t="s">
        <v>161</v>
      </c>
    </row>
    <row r="140" spans="1:4" x14ac:dyDescent="0.15">
      <c r="A140" s="8">
        <v>121329</v>
      </c>
      <c r="B140" s="9" t="s">
        <v>146</v>
      </c>
      <c r="C140" s="9" t="s">
        <v>147</v>
      </c>
      <c r="D140" s="10" t="s">
        <v>162</v>
      </c>
    </row>
    <row r="141" spans="1:4" x14ac:dyDescent="0.15">
      <c r="A141" s="8">
        <v>121330</v>
      </c>
      <c r="B141" s="9" t="s">
        <v>146</v>
      </c>
      <c r="C141" s="9" t="s">
        <v>147</v>
      </c>
      <c r="D141" s="10" t="s">
        <v>163</v>
      </c>
    </row>
    <row r="142" spans="1:4" x14ac:dyDescent="0.15">
      <c r="A142" s="8">
        <v>121332</v>
      </c>
      <c r="B142" s="9" t="s">
        <v>146</v>
      </c>
      <c r="C142" s="9" t="s">
        <v>147</v>
      </c>
      <c r="D142" s="10" t="s">
        <v>164</v>
      </c>
    </row>
    <row r="143" spans="1:4" x14ac:dyDescent="0.15">
      <c r="A143" s="8">
        <v>121333</v>
      </c>
      <c r="B143" s="9" t="s">
        <v>146</v>
      </c>
      <c r="C143" s="9" t="s">
        <v>147</v>
      </c>
      <c r="D143" s="10" t="s">
        <v>165</v>
      </c>
    </row>
    <row r="144" spans="1:4" x14ac:dyDescent="0.15">
      <c r="A144" s="8">
        <v>121401</v>
      </c>
      <c r="B144" s="9" t="s">
        <v>146</v>
      </c>
      <c r="C144" s="9" t="s">
        <v>166</v>
      </c>
      <c r="D144" s="10" t="s">
        <v>167</v>
      </c>
    </row>
    <row r="145" spans="1:4" x14ac:dyDescent="0.15">
      <c r="A145" s="8">
        <v>121402</v>
      </c>
      <c r="B145" s="9" t="s">
        <v>146</v>
      </c>
      <c r="C145" s="9" t="s">
        <v>166</v>
      </c>
      <c r="D145" s="10" t="s">
        <v>168</v>
      </c>
    </row>
    <row r="146" spans="1:4" x14ac:dyDescent="0.15">
      <c r="A146" s="8">
        <v>121403</v>
      </c>
      <c r="B146" s="9" t="s">
        <v>146</v>
      </c>
      <c r="C146" s="9" t="s">
        <v>166</v>
      </c>
      <c r="D146" s="10" t="s">
        <v>169</v>
      </c>
    </row>
    <row r="147" spans="1:4" x14ac:dyDescent="0.15">
      <c r="A147" s="8">
        <v>121404</v>
      </c>
      <c r="B147" s="9" t="s">
        <v>146</v>
      </c>
      <c r="C147" s="9" t="s">
        <v>166</v>
      </c>
      <c r="D147" s="10" t="s">
        <v>170</v>
      </c>
    </row>
    <row r="148" spans="1:4" x14ac:dyDescent="0.15">
      <c r="A148" s="8">
        <v>121405</v>
      </c>
      <c r="B148" s="9" t="s">
        <v>146</v>
      </c>
      <c r="C148" s="9" t="s">
        <v>166</v>
      </c>
      <c r="D148" s="10" t="s">
        <v>171</v>
      </c>
    </row>
    <row r="149" spans="1:4" x14ac:dyDescent="0.15">
      <c r="A149" s="8">
        <v>131501</v>
      </c>
      <c r="B149" s="9" t="s">
        <v>146</v>
      </c>
      <c r="C149" s="9" t="s">
        <v>172</v>
      </c>
      <c r="D149" s="10" t="s">
        <v>173</v>
      </c>
    </row>
    <row r="150" spans="1:4" x14ac:dyDescent="0.15">
      <c r="A150" s="8">
        <v>131502</v>
      </c>
      <c r="B150" s="9" t="s">
        <v>146</v>
      </c>
      <c r="C150" s="9" t="s">
        <v>172</v>
      </c>
      <c r="D150" s="10" t="s">
        <v>174</v>
      </c>
    </row>
    <row r="151" spans="1:4" x14ac:dyDescent="0.15">
      <c r="A151" s="8">
        <v>131503</v>
      </c>
      <c r="B151" s="9" t="s">
        <v>146</v>
      </c>
      <c r="C151" s="9" t="s">
        <v>172</v>
      </c>
      <c r="D151" s="10" t="s">
        <v>175</v>
      </c>
    </row>
    <row r="152" spans="1:4" x14ac:dyDescent="0.15">
      <c r="A152" s="8">
        <v>131504</v>
      </c>
      <c r="B152" s="9" t="s">
        <v>146</v>
      </c>
      <c r="C152" s="9" t="s">
        <v>172</v>
      </c>
      <c r="D152" s="10" t="s">
        <v>176</v>
      </c>
    </row>
    <row r="153" spans="1:4" x14ac:dyDescent="0.15">
      <c r="A153" s="8">
        <v>131505</v>
      </c>
      <c r="B153" s="9" t="s">
        <v>146</v>
      </c>
      <c r="C153" s="9" t="s">
        <v>172</v>
      </c>
      <c r="D153" s="10" t="s">
        <v>177</v>
      </c>
    </row>
    <row r="154" spans="1:4" x14ac:dyDescent="0.15">
      <c r="A154" s="8">
        <v>131506</v>
      </c>
      <c r="B154" s="9" t="s">
        <v>146</v>
      </c>
      <c r="C154" s="9" t="s">
        <v>172</v>
      </c>
      <c r="D154" s="10" t="s">
        <v>178</v>
      </c>
    </row>
    <row r="155" spans="1:4" x14ac:dyDescent="0.15">
      <c r="A155" s="8">
        <v>131507</v>
      </c>
      <c r="B155" s="9" t="s">
        <v>146</v>
      </c>
      <c r="C155" s="9" t="s">
        <v>172</v>
      </c>
      <c r="D155" s="10" t="s">
        <v>179</v>
      </c>
    </row>
    <row r="156" spans="1:4" x14ac:dyDescent="0.15">
      <c r="A156" s="8">
        <v>131508</v>
      </c>
      <c r="B156" s="9" t="s">
        <v>146</v>
      </c>
      <c r="C156" s="9" t="s">
        <v>172</v>
      </c>
      <c r="D156" s="10" t="s">
        <v>180</v>
      </c>
    </row>
    <row r="157" spans="1:4" x14ac:dyDescent="0.15">
      <c r="A157" s="8">
        <v>131509</v>
      </c>
      <c r="B157" s="9" t="s">
        <v>146</v>
      </c>
      <c r="C157" s="9" t="s">
        <v>172</v>
      </c>
      <c r="D157" s="10" t="s">
        <v>181</v>
      </c>
    </row>
    <row r="158" spans="1:4" x14ac:dyDescent="0.15">
      <c r="A158" s="8">
        <v>131511</v>
      </c>
      <c r="B158" s="9" t="s">
        <v>146</v>
      </c>
      <c r="C158" s="9" t="s">
        <v>172</v>
      </c>
      <c r="D158" s="10" t="s">
        <v>182</v>
      </c>
    </row>
    <row r="159" spans="1:4" x14ac:dyDescent="0.15">
      <c r="A159" s="8">
        <v>131515</v>
      </c>
      <c r="B159" s="9" t="s">
        <v>146</v>
      </c>
      <c r="C159" s="9" t="s">
        <v>172</v>
      </c>
      <c r="D159" s="10" t="s">
        <v>183</v>
      </c>
    </row>
    <row r="160" spans="1:4" x14ac:dyDescent="0.15">
      <c r="A160" s="8">
        <v>131519</v>
      </c>
      <c r="B160" s="9" t="s">
        <v>146</v>
      </c>
      <c r="C160" s="9" t="s">
        <v>172</v>
      </c>
      <c r="D160" s="10" t="s">
        <v>184</v>
      </c>
    </row>
    <row r="161" spans="1:4" x14ac:dyDescent="0.15">
      <c r="A161" s="8">
        <v>131524</v>
      </c>
      <c r="B161" s="9" t="s">
        <v>146</v>
      </c>
      <c r="C161" s="9" t="s">
        <v>172</v>
      </c>
      <c r="D161" s="10" t="s">
        <v>185</v>
      </c>
    </row>
    <row r="162" spans="1:4" x14ac:dyDescent="0.15">
      <c r="A162" s="8">
        <v>131525</v>
      </c>
      <c r="B162" s="9" t="s">
        <v>146</v>
      </c>
      <c r="C162" s="9" t="s">
        <v>172</v>
      </c>
      <c r="D162" s="10" t="s">
        <v>186</v>
      </c>
    </row>
    <row r="163" spans="1:4" x14ac:dyDescent="0.15">
      <c r="A163" s="8">
        <v>131526</v>
      </c>
      <c r="B163" s="9" t="s">
        <v>146</v>
      </c>
      <c r="C163" s="9" t="s">
        <v>172</v>
      </c>
      <c r="D163" s="10" t="s">
        <v>187</v>
      </c>
    </row>
    <row r="164" spans="1:4" x14ac:dyDescent="0.15">
      <c r="A164" s="8">
        <v>131527</v>
      </c>
      <c r="B164" s="9" t="s">
        <v>146</v>
      </c>
      <c r="C164" s="9" t="s">
        <v>172</v>
      </c>
      <c r="D164" s="10" t="s">
        <v>188</v>
      </c>
    </row>
    <row r="165" spans="1:4" x14ac:dyDescent="0.15">
      <c r="A165" s="8">
        <v>131528</v>
      </c>
      <c r="B165" s="9" t="s">
        <v>146</v>
      </c>
      <c r="C165" s="9" t="s">
        <v>172</v>
      </c>
      <c r="D165" s="10" t="s">
        <v>189</v>
      </c>
    </row>
    <row r="166" spans="1:4" x14ac:dyDescent="0.15">
      <c r="A166" s="8">
        <v>131529</v>
      </c>
      <c r="B166" s="9" t="s">
        <v>146</v>
      </c>
      <c r="C166" s="9" t="s">
        <v>172</v>
      </c>
      <c r="D166" s="10" t="s">
        <v>190</v>
      </c>
    </row>
    <row r="167" spans="1:4" x14ac:dyDescent="0.15">
      <c r="A167" s="8">
        <v>131531</v>
      </c>
      <c r="B167" s="9" t="s">
        <v>146</v>
      </c>
      <c r="C167" s="9" t="s">
        <v>172</v>
      </c>
      <c r="D167" s="11" t="s">
        <v>191</v>
      </c>
    </row>
    <row r="168" spans="1:4" x14ac:dyDescent="0.15">
      <c r="A168" s="8">
        <v>131534</v>
      </c>
      <c r="B168" s="9" t="s">
        <v>146</v>
      </c>
      <c r="C168" s="9" t="s">
        <v>172</v>
      </c>
      <c r="D168" s="10" t="s">
        <v>192</v>
      </c>
    </row>
    <row r="169" spans="1:4" x14ac:dyDescent="0.15">
      <c r="A169" s="8">
        <v>131536</v>
      </c>
      <c r="B169" s="9" t="s">
        <v>146</v>
      </c>
      <c r="C169" s="9" t="s">
        <v>172</v>
      </c>
      <c r="D169" s="10" t="s">
        <v>193</v>
      </c>
    </row>
    <row r="170" spans="1:4" x14ac:dyDescent="0.15">
      <c r="A170" s="8">
        <v>131601</v>
      </c>
      <c r="B170" s="9" t="s">
        <v>146</v>
      </c>
      <c r="C170" s="9" t="s">
        <v>194</v>
      </c>
      <c r="D170" s="10" t="s">
        <v>195</v>
      </c>
    </row>
    <row r="171" spans="1:4" ht="14.25" thickBot="1" x14ac:dyDescent="0.2">
      <c r="A171" s="8">
        <v>131602</v>
      </c>
      <c r="B171" s="9" t="s">
        <v>146</v>
      </c>
      <c r="C171" s="9" t="s">
        <v>194</v>
      </c>
      <c r="D171" s="10" t="s">
        <v>196</v>
      </c>
    </row>
    <row r="172" spans="1:4" x14ac:dyDescent="0.15">
      <c r="A172" s="5">
        <v>141801</v>
      </c>
      <c r="B172" s="6" t="s">
        <v>197</v>
      </c>
      <c r="C172" s="6" t="s">
        <v>198</v>
      </c>
      <c r="D172" s="7" t="s">
        <v>199</v>
      </c>
    </row>
    <row r="173" spans="1:4" x14ac:dyDescent="0.15">
      <c r="A173" s="8">
        <v>141802</v>
      </c>
      <c r="B173" s="9" t="s">
        <v>197</v>
      </c>
      <c r="C173" s="9" t="s">
        <v>198</v>
      </c>
      <c r="D173" s="10" t="s">
        <v>200</v>
      </c>
    </row>
    <row r="174" spans="1:4" x14ac:dyDescent="0.15">
      <c r="A174" s="8">
        <v>141803</v>
      </c>
      <c r="B174" s="9" t="s">
        <v>197</v>
      </c>
      <c r="C174" s="9" t="s">
        <v>198</v>
      </c>
      <c r="D174" s="10" t="s">
        <v>201</v>
      </c>
    </row>
    <row r="175" spans="1:4" x14ac:dyDescent="0.15">
      <c r="A175" s="8">
        <v>141804</v>
      </c>
      <c r="B175" s="9" t="s">
        <v>197</v>
      </c>
      <c r="C175" s="9" t="s">
        <v>198</v>
      </c>
      <c r="D175" s="10" t="s">
        <v>202</v>
      </c>
    </row>
    <row r="176" spans="1:4" x14ac:dyDescent="0.15">
      <c r="A176" s="8">
        <v>141806</v>
      </c>
      <c r="B176" s="9" t="s">
        <v>197</v>
      </c>
      <c r="C176" s="9" t="s">
        <v>198</v>
      </c>
      <c r="D176" s="10" t="s">
        <v>203</v>
      </c>
    </row>
    <row r="177" spans="1:4" x14ac:dyDescent="0.15">
      <c r="A177" s="8">
        <v>141807</v>
      </c>
      <c r="B177" s="9" t="s">
        <v>197</v>
      </c>
      <c r="C177" s="9" t="s">
        <v>198</v>
      </c>
      <c r="D177" s="10" t="s">
        <v>204</v>
      </c>
    </row>
    <row r="178" spans="1:4" x14ac:dyDescent="0.15">
      <c r="A178" s="8">
        <v>141808</v>
      </c>
      <c r="B178" s="9" t="s">
        <v>197</v>
      </c>
      <c r="C178" s="9" t="s">
        <v>198</v>
      </c>
      <c r="D178" s="10" t="s">
        <v>205</v>
      </c>
    </row>
    <row r="179" spans="1:4" x14ac:dyDescent="0.15">
      <c r="A179" s="8">
        <v>141809</v>
      </c>
      <c r="B179" s="9" t="s">
        <v>197</v>
      </c>
      <c r="C179" s="9" t="s">
        <v>198</v>
      </c>
      <c r="D179" s="10" t="s">
        <v>206</v>
      </c>
    </row>
    <row r="180" spans="1:4" x14ac:dyDescent="0.15">
      <c r="A180" s="8">
        <v>141810</v>
      </c>
      <c r="B180" s="9" t="s">
        <v>197</v>
      </c>
      <c r="C180" s="9" t="s">
        <v>198</v>
      </c>
      <c r="D180" s="10" t="s">
        <v>207</v>
      </c>
    </row>
    <row r="181" spans="1:4" x14ac:dyDescent="0.15">
      <c r="A181" s="8">
        <v>141811</v>
      </c>
      <c r="B181" s="9" t="s">
        <v>197</v>
      </c>
      <c r="C181" s="9" t="s">
        <v>198</v>
      </c>
      <c r="D181" s="10" t="s">
        <v>208</v>
      </c>
    </row>
    <row r="182" spans="1:4" x14ac:dyDescent="0.15">
      <c r="A182" s="8">
        <v>141812</v>
      </c>
      <c r="B182" s="9" t="s">
        <v>197</v>
      </c>
      <c r="C182" s="9" t="s">
        <v>198</v>
      </c>
      <c r="D182" s="10" t="s">
        <v>209</v>
      </c>
    </row>
    <row r="183" spans="1:4" x14ac:dyDescent="0.15">
      <c r="A183" s="8">
        <v>141901</v>
      </c>
      <c r="B183" s="9" t="s">
        <v>197</v>
      </c>
      <c r="C183" s="9" t="s">
        <v>210</v>
      </c>
      <c r="D183" s="10" t="s">
        <v>211</v>
      </c>
    </row>
    <row r="184" spans="1:4" x14ac:dyDescent="0.15">
      <c r="A184" s="8">
        <v>141902</v>
      </c>
      <c r="B184" s="9" t="s">
        <v>197</v>
      </c>
      <c r="C184" s="9" t="s">
        <v>210</v>
      </c>
      <c r="D184" s="10" t="s">
        <v>212</v>
      </c>
    </row>
    <row r="185" spans="1:4" x14ac:dyDescent="0.15">
      <c r="A185" s="8">
        <v>141903</v>
      </c>
      <c r="B185" s="9" t="s">
        <v>197</v>
      </c>
      <c r="C185" s="9" t="s">
        <v>210</v>
      </c>
      <c r="D185" s="10" t="s">
        <v>213</v>
      </c>
    </row>
    <row r="186" spans="1:4" x14ac:dyDescent="0.15">
      <c r="A186" s="8">
        <v>141904</v>
      </c>
      <c r="B186" s="9" t="s">
        <v>197</v>
      </c>
      <c r="C186" s="9" t="s">
        <v>210</v>
      </c>
      <c r="D186" s="10" t="s">
        <v>214</v>
      </c>
    </row>
    <row r="187" spans="1:4" x14ac:dyDescent="0.15">
      <c r="A187" s="8">
        <v>141905</v>
      </c>
      <c r="B187" s="9" t="s">
        <v>197</v>
      </c>
      <c r="C187" s="9" t="s">
        <v>210</v>
      </c>
      <c r="D187" s="10" t="s">
        <v>215</v>
      </c>
    </row>
    <row r="188" spans="1:4" x14ac:dyDescent="0.15">
      <c r="A188" s="8">
        <v>141906</v>
      </c>
      <c r="B188" s="9" t="s">
        <v>197</v>
      </c>
      <c r="C188" s="9" t="s">
        <v>210</v>
      </c>
      <c r="D188" s="10" t="s">
        <v>216</v>
      </c>
    </row>
    <row r="189" spans="1:4" x14ac:dyDescent="0.15">
      <c r="A189" s="8">
        <v>141907</v>
      </c>
      <c r="B189" s="9" t="s">
        <v>197</v>
      </c>
      <c r="C189" s="9" t="s">
        <v>210</v>
      </c>
      <c r="D189" s="10" t="s">
        <v>217</v>
      </c>
    </row>
    <row r="190" spans="1:4" x14ac:dyDescent="0.15">
      <c r="A190" s="8">
        <v>141908</v>
      </c>
      <c r="B190" s="9" t="s">
        <v>197</v>
      </c>
      <c r="C190" s="9" t="s">
        <v>210</v>
      </c>
      <c r="D190" s="10" t="s">
        <v>218</v>
      </c>
    </row>
    <row r="191" spans="1:4" x14ac:dyDescent="0.15">
      <c r="A191" s="8">
        <v>142001</v>
      </c>
      <c r="B191" s="9" t="s">
        <v>197</v>
      </c>
      <c r="C191" s="9" t="s">
        <v>219</v>
      </c>
      <c r="D191" s="10" t="s">
        <v>220</v>
      </c>
    </row>
    <row r="192" spans="1:4" x14ac:dyDescent="0.15">
      <c r="A192" s="8">
        <v>142002</v>
      </c>
      <c r="B192" s="9" t="s">
        <v>197</v>
      </c>
      <c r="C192" s="9" t="s">
        <v>219</v>
      </c>
      <c r="D192" s="10" t="s">
        <v>221</v>
      </c>
    </row>
    <row r="193" spans="1:5" x14ac:dyDescent="0.15">
      <c r="A193" s="8">
        <v>142101</v>
      </c>
      <c r="B193" s="9" t="s">
        <v>197</v>
      </c>
      <c r="C193" s="9" t="s">
        <v>222</v>
      </c>
      <c r="D193" s="10" t="s">
        <v>223</v>
      </c>
    </row>
    <row r="194" spans="1:5" x14ac:dyDescent="0.15">
      <c r="A194" s="8">
        <v>142102</v>
      </c>
      <c r="B194" s="9" t="s">
        <v>197</v>
      </c>
      <c r="C194" s="9" t="s">
        <v>222</v>
      </c>
      <c r="D194" s="10" t="s">
        <v>224</v>
      </c>
    </row>
    <row r="195" spans="1:5" x14ac:dyDescent="0.15">
      <c r="A195" s="8">
        <v>142103</v>
      </c>
      <c r="B195" s="9" t="s">
        <v>197</v>
      </c>
      <c r="C195" s="9" t="s">
        <v>222</v>
      </c>
      <c r="D195" s="10" t="s">
        <v>225</v>
      </c>
    </row>
    <row r="196" spans="1:5" x14ac:dyDescent="0.15">
      <c r="A196" s="8">
        <v>142104</v>
      </c>
      <c r="B196" s="9" t="s">
        <v>197</v>
      </c>
      <c r="C196" s="9" t="s">
        <v>222</v>
      </c>
      <c r="D196" s="10" t="s">
        <v>226</v>
      </c>
    </row>
    <row r="197" spans="1:5" x14ac:dyDescent="0.15">
      <c r="A197" s="8">
        <v>142105</v>
      </c>
      <c r="B197" s="9" t="s">
        <v>197</v>
      </c>
      <c r="C197" s="9" t="s">
        <v>222</v>
      </c>
      <c r="D197" s="10" t="s">
        <v>227</v>
      </c>
    </row>
    <row r="198" spans="1:5" x14ac:dyDescent="0.15">
      <c r="A198" s="8">
        <v>142106</v>
      </c>
      <c r="B198" s="9" t="s">
        <v>197</v>
      </c>
      <c r="C198" s="9" t="s">
        <v>222</v>
      </c>
      <c r="D198" s="10" t="s">
        <v>228</v>
      </c>
    </row>
    <row r="199" spans="1:5" x14ac:dyDescent="0.15">
      <c r="A199" s="8">
        <v>142107</v>
      </c>
      <c r="B199" s="9" t="s">
        <v>197</v>
      </c>
      <c r="C199" s="9" t="s">
        <v>222</v>
      </c>
      <c r="D199" s="10" t="s">
        <v>229</v>
      </c>
    </row>
    <row r="200" spans="1:5" x14ac:dyDescent="0.15">
      <c r="A200" s="8">
        <v>142108</v>
      </c>
      <c r="B200" s="9" t="s">
        <v>197</v>
      </c>
      <c r="C200" s="9" t="s">
        <v>222</v>
      </c>
      <c r="D200" s="10" t="s">
        <v>230</v>
      </c>
    </row>
    <row r="201" spans="1:5" x14ac:dyDescent="0.15">
      <c r="A201" s="8">
        <v>142109</v>
      </c>
      <c r="B201" s="9" t="s">
        <v>197</v>
      </c>
      <c r="C201" s="9" t="s">
        <v>222</v>
      </c>
      <c r="D201" s="10" t="s">
        <v>231</v>
      </c>
    </row>
    <row r="202" spans="1:5" x14ac:dyDescent="0.15">
      <c r="A202" s="8">
        <v>142201</v>
      </c>
      <c r="B202" s="9" t="s">
        <v>197</v>
      </c>
      <c r="C202" s="9" t="s">
        <v>232</v>
      </c>
      <c r="D202" s="10" t="s">
        <v>233</v>
      </c>
    </row>
    <row r="203" spans="1:5" ht="14.25" thickBot="1" x14ac:dyDescent="0.2">
      <c r="A203" s="8">
        <v>142203</v>
      </c>
      <c r="B203" s="9" t="s">
        <v>197</v>
      </c>
      <c r="C203" s="9" t="s">
        <v>232</v>
      </c>
      <c r="D203" s="10" t="s">
        <v>234</v>
      </c>
    </row>
    <row r="204" spans="1:5" x14ac:dyDescent="0.15">
      <c r="A204" s="5">
        <v>152301</v>
      </c>
      <c r="B204" s="6" t="s">
        <v>235</v>
      </c>
      <c r="C204" s="6" t="s">
        <v>236</v>
      </c>
      <c r="D204" s="7" t="s">
        <v>237</v>
      </c>
    </row>
    <row r="205" spans="1:5" x14ac:dyDescent="0.15">
      <c r="A205" s="8">
        <v>152302</v>
      </c>
      <c r="B205" s="9" t="s">
        <v>235</v>
      </c>
      <c r="C205" s="9" t="s">
        <v>236</v>
      </c>
      <c r="D205" s="10" t="s">
        <v>238</v>
      </c>
    </row>
    <row r="206" spans="1:5" x14ac:dyDescent="0.15">
      <c r="A206" s="8">
        <v>152304</v>
      </c>
      <c r="B206" s="9" t="s">
        <v>235</v>
      </c>
      <c r="C206" s="9" t="s">
        <v>236</v>
      </c>
      <c r="D206" s="10" t="s">
        <v>239</v>
      </c>
      <c r="E206" s="1" t="s">
        <v>240</v>
      </c>
    </row>
    <row r="207" spans="1:5" x14ac:dyDescent="0.15">
      <c r="A207" s="8">
        <v>152305</v>
      </c>
      <c r="B207" s="9" t="s">
        <v>235</v>
      </c>
      <c r="C207" s="9" t="s">
        <v>236</v>
      </c>
      <c r="D207" s="10" t="s">
        <v>241</v>
      </c>
    </row>
    <row r="208" spans="1:5" x14ac:dyDescent="0.15">
      <c r="A208" s="8">
        <v>152306</v>
      </c>
      <c r="B208" s="9" t="s">
        <v>235</v>
      </c>
      <c r="C208" s="9" t="s">
        <v>236</v>
      </c>
      <c r="D208" s="10" t="s">
        <v>242</v>
      </c>
    </row>
    <row r="209" spans="1:5" x14ac:dyDescent="0.15">
      <c r="A209" s="12">
        <v>152307</v>
      </c>
      <c r="B209" s="13" t="s">
        <v>235</v>
      </c>
      <c r="C209" s="13" t="s">
        <v>236</v>
      </c>
      <c r="D209" s="14" t="s">
        <v>243</v>
      </c>
      <c r="E209" s="1" t="s">
        <v>45</v>
      </c>
    </row>
    <row r="210" spans="1:5" x14ac:dyDescent="0.15">
      <c r="A210" s="8">
        <v>152309</v>
      </c>
      <c r="B210" s="9" t="s">
        <v>235</v>
      </c>
      <c r="C210" s="9" t="s">
        <v>236</v>
      </c>
      <c r="D210" s="10" t="s">
        <v>244</v>
      </c>
    </row>
    <row r="211" spans="1:5" x14ac:dyDescent="0.15">
      <c r="A211" s="8">
        <v>152310</v>
      </c>
      <c r="B211" s="9" t="s">
        <v>235</v>
      </c>
      <c r="C211" s="9" t="s">
        <v>236</v>
      </c>
      <c r="D211" s="10" t="s">
        <v>245</v>
      </c>
    </row>
    <row r="212" spans="1:5" x14ac:dyDescent="0.15">
      <c r="A212" s="8">
        <v>152312</v>
      </c>
      <c r="B212" s="9" t="s">
        <v>235</v>
      </c>
      <c r="C212" s="9" t="s">
        <v>236</v>
      </c>
      <c r="D212" s="10" t="s">
        <v>246</v>
      </c>
    </row>
    <row r="213" spans="1:5" x14ac:dyDescent="0.15">
      <c r="A213" s="8">
        <v>152315</v>
      </c>
      <c r="B213" s="9" t="s">
        <v>235</v>
      </c>
      <c r="C213" s="9" t="s">
        <v>236</v>
      </c>
      <c r="D213" s="10" t="s">
        <v>247</v>
      </c>
    </row>
    <row r="214" spans="1:5" x14ac:dyDescent="0.15">
      <c r="A214" s="8">
        <v>152316</v>
      </c>
      <c r="B214" s="9" t="s">
        <v>235</v>
      </c>
      <c r="C214" s="9" t="s">
        <v>236</v>
      </c>
      <c r="D214" s="10" t="s">
        <v>248</v>
      </c>
    </row>
    <row r="215" spans="1:5" x14ac:dyDescent="0.15">
      <c r="A215" s="8">
        <v>152318</v>
      </c>
      <c r="B215" s="9" t="s">
        <v>235</v>
      </c>
      <c r="C215" s="9" t="s">
        <v>236</v>
      </c>
      <c r="D215" s="10" t="s">
        <v>249</v>
      </c>
    </row>
    <row r="216" spans="1:5" x14ac:dyDescent="0.15">
      <c r="A216" s="8">
        <v>152322</v>
      </c>
      <c r="B216" s="9" t="s">
        <v>235</v>
      </c>
      <c r="C216" s="9" t="s">
        <v>236</v>
      </c>
      <c r="D216" s="10" t="s">
        <v>250</v>
      </c>
    </row>
    <row r="217" spans="1:5" x14ac:dyDescent="0.15">
      <c r="A217" s="8">
        <v>152401</v>
      </c>
      <c r="B217" s="9" t="s">
        <v>235</v>
      </c>
      <c r="C217" s="9" t="s">
        <v>251</v>
      </c>
      <c r="D217" s="10" t="s">
        <v>252</v>
      </c>
    </row>
    <row r="218" spans="1:5" x14ac:dyDescent="0.15">
      <c r="A218" s="8">
        <v>152404</v>
      </c>
      <c r="B218" s="9" t="s">
        <v>235</v>
      </c>
      <c r="C218" s="9" t="s">
        <v>251</v>
      </c>
      <c r="D218" s="10" t="s">
        <v>253</v>
      </c>
    </row>
    <row r="219" spans="1:5" x14ac:dyDescent="0.15">
      <c r="A219" s="8">
        <v>152501</v>
      </c>
      <c r="B219" s="9" t="s">
        <v>235</v>
      </c>
      <c r="C219" s="9" t="s">
        <v>254</v>
      </c>
      <c r="D219" s="10" t="s">
        <v>255</v>
      </c>
    </row>
    <row r="220" spans="1:5" x14ac:dyDescent="0.15">
      <c r="A220" s="8">
        <v>152506</v>
      </c>
      <c r="B220" s="9" t="s">
        <v>235</v>
      </c>
      <c r="C220" s="9" t="s">
        <v>254</v>
      </c>
      <c r="D220" s="10" t="s">
        <v>256</v>
      </c>
    </row>
    <row r="221" spans="1:5" x14ac:dyDescent="0.15">
      <c r="A221" s="8">
        <v>152511</v>
      </c>
      <c r="B221" s="9" t="s">
        <v>235</v>
      </c>
      <c r="C221" s="9" t="s">
        <v>254</v>
      </c>
      <c r="D221" s="10" t="s">
        <v>257</v>
      </c>
    </row>
    <row r="222" spans="1:5" x14ac:dyDescent="0.15">
      <c r="A222" s="8">
        <v>152512</v>
      </c>
      <c r="B222" s="9" t="s">
        <v>235</v>
      </c>
      <c r="C222" s="9" t="s">
        <v>254</v>
      </c>
      <c r="D222" s="10" t="s">
        <v>258</v>
      </c>
    </row>
    <row r="223" spans="1:5" ht="14.25" thickBot="1" x14ac:dyDescent="0.2">
      <c r="A223" s="18">
        <v>152601</v>
      </c>
      <c r="B223" s="19" t="s">
        <v>235</v>
      </c>
      <c r="C223" s="19" t="s">
        <v>259</v>
      </c>
      <c r="D223" s="20" t="s">
        <v>260</v>
      </c>
    </row>
    <row r="224" spans="1:5" x14ac:dyDescent="0.15">
      <c r="A224" s="5">
        <v>162701</v>
      </c>
      <c r="B224" s="6" t="s">
        <v>261</v>
      </c>
      <c r="C224" s="6" t="s">
        <v>262</v>
      </c>
      <c r="D224" s="7" t="s">
        <v>263</v>
      </c>
    </row>
    <row r="225" spans="1:5" x14ac:dyDescent="0.15">
      <c r="A225" s="8">
        <v>162702</v>
      </c>
      <c r="B225" s="9" t="s">
        <v>261</v>
      </c>
      <c r="C225" s="9" t="s">
        <v>262</v>
      </c>
      <c r="D225" s="10" t="s">
        <v>264</v>
      </c>
    </row>
    <row r="226" spans="1:5" x14ac:dyDescent="0.15">
      <c r="A226" s="8">
        <v>162703</v>
      </c>
      <c r="B226" s="9" t="s">
        <v>261</v>
      </c>
      <c r="C226" s="9" t="s">
        <v>262</v>
      </c>
      <c r="D226" s="10" t="s">
        <v>265</v>
      </c>
    </row>
    <row r="227" spans="1:5" x14ac:dyDescent="0.15">
      <c r="A227" s="8">
        <v>162704</v>
      </c>
      <c r="B227" s="9" t="s">
        <v>261</v>
      </c>
      <c r="C227" s="9" t="s">
        <v>262</v>
      </c>
      <c r="D227" s="10" t="s">
        <v>266</v>
      </c>
    </row>
    <row r="228" spans="1:5" x14ac:dyDescent="0.15">
      <c r="A228" s="8">
        <v>162705</v>
      </c>
      <c r="B228" s="9" t="s">
        <v>261</v>
      </c>
      <c r="C228" s="9" t="s">
        <v>262</v>
      </c>
      <c r="D228" s="10" t="s">
        <v>267</v>
      </c>
    </row>
    <row r="229" spans="1:5" x14ac:dyDescent="0.15">
      <c r="A229" s="8">
        <v>162706</v>
      </c>
      <c r="B229" s="9" t="s">
        <v>261</v>
      </c>
      <c r="C229" s="9" t="s">
        <v>262</v>
      </c>
      <c r="D229" s="10" t="s">
        <v>268</v>
      </c>
    </row>
    <row r="230" spans="1:5" x14ac:dyDescent="0.15">
      <c r="A230" s="8">
        <v>162707</v>
      </c>
      <c r="B230" s="9" t="s">
        <v>261</v>
      </c>
      <c r="C230" s="9" t="s">
        <v>262</v>
      </c>
      <c r="D230" s="10" t="s">
        <v>269</v>
      </c>
    </row>
    <row r="231" spans="1:5" x14ac:dyDescent="0.15">
      <c r="A231" s="8">
        <v>162708</v>
      </c>
      <c r="B231" s="9" t="s">
        <v>261</v>
      </c>
      <c r="C231" s="9" t="s">
        <v>262</v>
      </c>
      <c r="D231" s="10" t="s">
        <v>270</v>
      </c>
    </row>
    <row r="232" spans="1:5" x14ac:dyDescent="0.15">
      <c r="A232" s="8">
        <v>162709</v>
      </c>
      <c r="B232" s="9" t="s">
        <v>261</v>
      </c>
      <c r="C232" s="9" t="s">
        <v>262</v>
      </c>
      <c r="D232" s="10" t="s">
        <v>271</v>
      </c>
    </row>
    <row r="233" spans="1:5" x14ac:dyDescent="0.15">
      <c r="A233" s="8">
        <v>162710</v>
      </c>
      <c r="B233" s="9" t="s">
        <v>261</v>
      </c>
      <c r="C233" s="9" t="s">
        <v>262</v>
      </c>
      <c r="D233" s="10" t="s">
        <v>272</v>
      </c>
    </row>
    <row r="234" spans="1:5" x14ac:dyDescent="0.15">
      <c r="A234" s="8">
        <v>162711</v>
      </c>
      <c r="B234" s="9" t="s">
        <v>261</v>
      </c>
      <c r="C234" s="9" t="s">
        <v>262</v>
      </c>
      <c r="D234" s="10" t="s">
        <v>273</v>
      </c>
    </row>
    <row r="235" spans="1:5" x14ac:dyDescent="0.15">
      <c r="A235" s="8">
        <v>162713</v>
      </c>
      <c r="B235" s="9" t="s">
        <v>261</v>
      </c>
      <c r="C235" s="9" t="s">
        <v>262</v>
      </c>
      <c r="D235" s="10" t="s">
        <v>274</v>
      </c>
      <c r="E235" s="1" t="s">
        <v>275</v>
      </c>
    </row>
    <row r="236" spans="1:5" x14ac:dyDescent="0.15">
      <c r="A236" s="12">
        <v>162716</v>
      </c>
      <c r="B236" s="13" t="s">
        <v>261</v>
      </c>
      <c r="C236" s="13" t="s">
        <v>262</v>
      </c>
      <c r="D236" s="14" t="s">
        <v>276</v>
      </c>
      <c r="E236" s="1" t="s">
        <v>45</v>
      </c>
    </row>
    <row r="237" spans="1:5" x14ac:dyDescent="0.15">
      <c r="A237" s="8">
        <v>162801</v>
      </c>
      <c r="B237" s="9" t="s">
        <v>261</v>
      </c>
      <c r="C237" s="9" t="s">
        <v>277</v>
      </c>
      <c r="D237" s="10" t="s">
        <v>278</v>
      </c>
    </row>
    <row r="238" spans="1:5" x14ac:dyDescent="0.15">
      <c r="A238" s="8">
        <v>162802</v>
      </c>
      <c r="B238" s="9" t="s">
        <v>261</v>
      </c>
      <c r="C238" s="9" t="s">
        <v>277</v>
      </c>
      <c r="D238" s="10" t="s">
        <v>279</v>
      </c>
    </row>
    <row r="239" spans="1:5" x14ac:dyDescent="0.15">
      <c r="A239" s="8">
        <v>162804</v>
      </c>
      <c r="B239" s="9" t="s">
        <v>261</v>
      </c>
      <c r="C239" s="9" t="s">
        <v>277</v>
      </c>
      <c r="D239" s="10" t="s">
        <v>280</v>
      </c>
    </row>
    <row r="240" spans="1:5" x14ac:dyDescent="0.15">
      <c r="A240" s="8">
        <v>162805</v>
      </c>
      <c r="B240" s="9" t="s">
        <v>261</v>
      </c>
      <c r="C240" s="9" t="s">
        <v>277</v>
      </c>
      <c r="D240" s="10" t="s">
        <v>281</v>
      </c>
    </row>
    <row r="241" spans="1:5" x14ac:dyDescent="0.15">
      <c r="A241" s="8">
        <v>162806</v>
      </c>
      <c r="B241" s="9" t="s">
        <v>261</v>
      </c>
      <c r="C241" s="9" t="s">
        <v>277</v>
      </c>
      <c r="D241" s="10" t="s">
        <v>282</v>
      </c>
      <c r="E241" s="1" t="s">
        <v>283</v>
      </c>
    </row>
    <row r="242" spans="1:5" x14ac:dyDescent="0.15">
      <c r="A242" s="12">
        <v>162807</v>
      </c>
      <c r="B242" s="13" t="s">
        <v>261</v>
      </c>
      <c r="C242" s="13" t="s">
        <v>277</v>
      </c>
      <c r="D242" s="14" t="s">
        <v>284</v>
      </c>
      <c r="E242" s="1" t="s">
        <v>45</v>
      </c>
    </row>
    <row r="243" spans="1:5" x14ac:dyDescent="0.15">
      <c r="A243" s="12">
        <v>162808</v>
      </c>
      <c r="B243" s="13" t="s">
        <v>261</v>
      </c>
      <c r="C243" s="13" t="s">
        <v>277</v>
      </c>
      <c r="D243" s="14" t="s">
        <v>285</v>
      </c>
      <c r="E243" s="1" t="s">
        <v>45</v>
      </c>
    </row>
    <row r="244" spans="1:5" x14ac:dyDescent="0.15">
      <c r="A244" s="8">
        <v>162901</v>
      </c>
      <c r="B244" s="9" t="s">
        <v>261</v>
      </c>
      <c r="C244" s="9" t="s">
        <v>286</v>
      </c>
      <c r="D244" s="10" t="s">
        <v>287</v>
      </c>
    </row>
    <row r="245" spans="1:5" x14ac:dyDescent="0.15">
      <c r="A245" s="8">
        <v>163001</v>
      </c>
      <c r="B245" s="9" t="s">
        <v>261</v>
      </c>
      <c r="C245" s="9" t="s">
        <v>288</v>
      </c>
      <c r="D245" s="10" t="s">
        <v>289</v>
      </c>
    </row>
    <row r="246" spans="1:5" x14ac:dyDescent="0.15">
      <c r="A246" s="8">
        <v>163101</v>
      </c>
      <c r="B246" s="9" t="s">
        <v>261</v>
      </c>
      <c r="C246" s="9" t="s">
        <v>290</v>
      </c>
      <c r="D246" s="10" t="s">
        <v>291</v>
      </c>
    </row>
    <row r="247" spans="1:5" x14ac:dyDescent="0.15">
      <c r="A247" s="8">
        <v>163102</v>
      </c>
      <c r="B247" s="9" t="s">
        <v>261</v>
      </c>
      <c r="C247" s="9" t="s">
        <v>290</v>
      </c>
      <c r="D247" s="10" t="s">
        <v>292</v>
      </c>
    </row>
    <row r="248" spans="1:5" x14ac:dyDescent="0.15">
      <c r="A248" s="8">
        <v>163103</v>
      </c>
      <c r="B248" s="9" t="s">
        <v>261</v>
      </c>
      <c r="C248" s="9" t="s">
        <v>290</v>
      </c>
      <c r="D248" s="10" t="s">
        <v>293</v>
      </c>
    </row>
    <row r="249" spans="1:5" x14ac:dyDescent="0.15">
      <c r="A249" s="8">
        <v>163104</v>
      </c>
      <c r="B249" s="9" t="s">
        <v>261</v>
      </c>
      <c r="C249" s="9" t="s">
        <v>290</v>
      </c>
      <c r="D249" s="10" t="s">
        <v>294</v>
      </c>
    </row>
    <row r="250" spans="1:5" x14ac:dyDescent="0.15">
      <c r="A250" s="8">
        <v>163105</v>
      </c>
      <c r="B250" s="9" t="s">
        <v>261</v>
      </c>
      <c r="C250" s="9" t="s">
        <v>290</v>
      </c>
      <c r="D250" s="10" t="s">
        <v>295</v>
      </c>
    </row>
    <row r="251" spans="1:5" x14ac:dyDescent="0.15">
      <c r="A251" s="8">
        <v>163106</v>
      </c>
      <c r="B251" s="9" t="s">
        <v>261</v>
      </c>
      <c r="C251" s="9" t="s">
        <v>290</v>
      </c>
      <c r="D251" s="10" t="s">
        <v>296</v>
      </c>
    </row>
    <row r="252" spans="1:5" x14ac:dyDescent="0.15">
      <c r="A252" s="8">
        <v>163107</v>
      </c>
      <c r="B252" s="9" t="s">
        <v>261</v>
      </c>
      <c r="C252" s="9" t="s">
        <v>290</v>
      </c>
      <c r="D252" s="10" t="s">
        <v>297</v>
      </c>
    </row>
    <row r="253" spans="1:5" x14ac:dyDescent="0.15">
      <c r="A253" s="8">
        <v>163108</v>
      </c>
      <c r="B253" s="9" t="s">
        <v>261</v>
      </c>
      <c r="C253" s="9" t="s">
        <v>290</v>
      </c>
      <c r="D253" s="10" t="s">
        <v>298</v>
      </c>
    </row>
    <row r="254" spans="1:5" x14ac:dyDescent="0.15">
      <c r="A254" s="8">
        <v>163201</v>
      </c>
      <c r="B254" s="9" t="s">
        <v>261</v>
      </c>
      <c r="C254" s="9" t="s">
        <v>299</v>
      </c>
      <c r="D254" s="10" t="s">
        <v>300</v>
      </c>
    </row>
    <row r="255" spans="1:5" x14ac:dyDescent="0.15">
      <c r="A255" s="8">
        <v>163203</v>
      </c>
      <c r="B255" s="9" t="s">
        <v>261</v>
      </c>
      <c r="C255" s="9" t="s">
        <v>299</v>
      </c>
      <c r="D255" s="10" t="s">
        <v>301</v>
      </c>
    </row>
    <row r="256" spans="1:5" x14ac:dyDescent="0.15">
      <c r="A256" s="8">
        <v>163206</v>
      </c>
      <c r="B256" s="9" t="s">
        <v>261</v>
      </c>
      <c r="C256" s="9" t="s">
        <v>299</v>
      </c>
      <c r="D256" s="10" t="s">
        <v>302</v>
      </c>
    </row>
    <row r="257" spans="1:4" x14ac:dyDescent="0.15">
      <c r="A257" s="8">
        <v>163301</v>
      </c>
      <c r="B257" s="9" t="s">
        <v>261</v>
      </c>
      <c r="C257" s="9" t="s">
        <v>303</v>
      </c>
      <c r="D257" s="10" t="s">
        <v>304</v>
      </c>
    </row>
    <row r="258" spans="1:4" x14ac:dyDescent="0.15">
      <c r="A258" s="8">
        <v>163303</v>
      </c>
      <c r="B258" s="9" t="s">
        <v>261</v>
      </c>
      <c r="C258" s="9" t="s">
        <v>303</v>
      </c>
      <c r="D258" s="10" t="s">
        <v>305</v>
      </c>
    </row>
    <row r="259" spans="1:4" x14ac:dyDescent="0.15">
      <c r="A259" s="8">
        <v>163304</v>
      </c>
      <c r="B259" s="9" t="s">
        <v>261</v>
      </c>
      <c r="C259" s="9" t="s">
        <v>303</v>
      </c>
      <c r="D259" s="10" t="s">
        <v>306</v>
      </c>
    </row>
    <row r="260" spans="1:4" ht="14.25" thickBot="1" x14ac:dyDescent="0.2">
      <c r="A260" s="18">
        <v>163406</v>
      </c>
      <c r="B260" s="9" t="s">
        <v>261</v>
      </c>
      <c r="C260" s="9" t="s">
        <v>307</v>
      </c>
      <c r="D260" s="20" t="s">
        <v>308</v>
      </c>
    </row>
    <row r="261" spans="1:4" s="24" customFormat="1" ht="14.25" thickBot="1" x14ac:dyDescent="0.2">
      <c r="A261" s="21">
        <v>170202</v>
      </c>
      <c r="B261" s="22" t="s">
        <v>309</v>
      </c>
      <c r="C261" s="22" t="s">
        <v>310</v>
      </c>
      <c r="D261" s="23" t="s">
        <v>311</v>
      </c>
    </row>
    <row r="262" spans="1:4" s="24" customFormat="1" x14ac:dyDescent="0.15">
      <c r="A262" s="25">
        <v>170203</v>
      </c>
      <c r="B262" s="26" t="s">
        <v>565</v>
      </c>
      <c r="C262" s="26" t="s">
        <v>312</v>
      </c>
      <c r="D262" s="27" t="s">
        <v>313</v>
      </c>
    </row>
    <row r="263" spans="1:4" s="24" customFormat="1" x14ac:dyDescent="0.15">
      <c r="A263" s="28">
        <v>170204</v>
      </c>
      <c r="B263" s="29" t="s">
        <v>565</v>
      </c>
      <c r="C263" s="29" t="s">
        <v>312</v>
      </c>
      <c r="D263" s="30" t="s">
        <v>314</v>
      </c>
    </row>
    <row r="264" spans="1:4" s="24" customFormat="1" x14ac:dyDescent="0.15">
      <c r="A264" s="28">
        <v>170205</v>
      </c>
      <c r="B264" s="29" t="s">
        <v>565</v>
      </c>
      <c r="C264" s="29" t="s">
        <v>312</v>
      </c>
      <c r="D264" s="30" t="s">
        <v>315</v>
      </c>
    </row>
    <row r="265" spans="1:4" s="24" customFormat="1" x14ac:dyDescent="0.15">
      <c r="A265" s="28">
        <v>170206</v>
      </c>
      <c r="B265" s="29" t="s">
        <v>565</v>
      </c>
      <c r="C265" s="29" t="s">
        <v>312</v>
      </c>
      <c r="D265" s="30" t="s">
        <v>316</v>
      </c>
    </row>
    <row r="266" spans="1:4" s="24" customFormat="1" x14ac:dyDescent="0.15">
      <c r="A266" s="28">
        <v>170207</v>
      </c>
      <c r="B266" s="29" t="s">
        <v>565</v>
      </c>
      <c r="C266" s="29" t="s">
        <v>312</v>
      </c>
      <c r="D266" s="30" t="s">
        <v>317</v>
      </c>
    </row>
    <row r="267" spans="1:4" s="24" customFormat="1" x14ac:dyDescent="0.15">
      <c r="A267" s="28">
        <v>170208</v>
      </c>
      <c r="B267" s="29" t="s">
        <v>565</v>
      </c>
      <c r="C267" s="29" t="s">
        <v>312</v>
      </c>
      <c r="D267" s="30" t="s">
        <v>318</v>
      </c>
    </row>
    <row r="268" spans="1:4" s="24" customFormat="1" x14ac:dyDescent="0.15">
      <c r="A268" s="28">
        <v>170209</v>
      </c>
      <c r="B268" s="29" t="s">
        <v>565</v>
      </c>
      <c r="C268" s="29" t="s">
        <v>312</v>
      </c>
      <c r="D268" s="30" t="s">
        <v>319</v>
      </c>
    </row>
    <row r="269" spans="1:4" s="24" customFormat="1" x14ac:dyDescent="0.15">
      <c r="A269" s="28">
        <v>170210</v>
      </c>
      <c r="B269" s="29" t="s">
        <v>565</v>
      </c>
      <c r="C269" s="29" t="s">
        <v>312</v>
      </c>
      <c r="D269" s="30" t="s">
        <v>320</v>
      </c>
    </row>
    <row r="270" spans="1:4" s="24" customFormat="1" x14ac:dyDescent="0.15">
      <c r="A270" s="28">
        <v>170211</v>
      </c>
      <c r="B270" s="29" t="s">
        <v>565</v>
      </c>
      <c r="C270" s="29" t="s">
        <v>312</v>
      </c>
      <c r="D270" s="30" t="s">
        <v>321</v>
      </c>
    </row>
    <row r="271" spans="1:4" s="24" customFormat="1" x14ac:dyDescent="0.15">
      <c r="A271" s="28">
        <v>170212</v>
      </c>
      <c r="B271" s="29" t="s">
        <v>565</v>
      </c>
      <c r="C271" s="29" t="s">
        <v>312</v>
      </c>
      <c r="D271" s="30" t="s">
        <v>322</v>
      </c>
    </row>
    <row r="272" spans="1:4" s="24" customFormat="1" x14ac:dyDescent="0.15">
      <c r="A272" s="28">
        <v>170213</v>
      </c>
      <c r="B272" s="29" t="s">
        <v>565</v>
      </c>
      <c r="C272" s="29" t="s">
        <v>312</v>
      </c>
      <c r="D272" s="30" t="s">
        <v>323</v>
      </c>
    </row>
    <row r="273" spans="1:5" s="24" customFormat="1" x14ac:dyDescent="0.15">
      <c r="A273" s="28">
        <v>170214</v>
      </c>
      <c r="B273" s="29" t="s">
        <v>565</v>
      </c>
      <c r="C273" s="29" t="s">
        <v>312</v>
      </c>
      <c r="D273" s="30" t="s">
        <v>324</v>
      </c>
    </row>
    <row r="274" spans="1:5" s="24" customFormat="1" x14ac:dyDescent="0.15">
      <c r="A274" s="28">
        <v>170215</v>
      </c>
      <c r="B274" s="29" t="s">
        <v>565</v>
      </c>
      <c r="C274" s="29" t="s">
        <v>312</v>
      </c>
      <c r="D274" s="30" t="s">
        <v>325</v>
      </c>
    </row>
    <row r="275" spans="1:5" s="24" customFormat="1" ht="14.25" thickBot="1" x14ac:dyDescent="0.2">
      <c r="A275" s="31">
        <v>170216</v>
      </c>
      <c r="B275" s="32" t="s">
        <v>565</v>
      </c>
      <c r="C275" s="32" t="s">
        <v>312</v>
      </c>
      <c r="D275" s="33" t="s">
        <v>326</v>
      </c>
      <c r="E275" s="24" t="s">
        <v>327</v>
      </c>
    </row>
    <row r="276" spans="1:5" ht="14.25" thickBot="1" x14ac:dyDescent="0.2">
      <c r="A276" s="34">
        <v>177777</v>
      </c>
      <c r="B276" s="34" t="s">
        <v>328</v>
      </c>
      <c r="C276" s="34" t="s">
        <v>328</v>
      </c>
      <c r="D276" s="35" t="s">
        <v>329</v>
      </c>
    </row>
    <row r="277" spans="1:5" ht="14.25" thickBot="1" x14ac:dyDescent="0.2">
      <c r="A277" s="36">
        <v>180001</v>
      </c>
      <c r="B277" s="37" t="s">
        <v>330</v>
      </c>
      <c r="C277" s="37" t="s">
        <v>330</v>
      </c>
      <c r="D277" s="38" t="s">
        <v>331</v>
      </c>
    </row>
    <row r="278" spans="1:5" x14ac:dyDescent="0.15">
      <c r="A278" s="5">
        <v>90001</v>
      </c>
      <c r="B278" s="39" t="s">
        <v>332</v>
      </c>
      <c r="C278" s="39" t="s">
        <v>333</v>
      </c>
      <c r="D278" s="7" t="s">
        <v>334</v>
      </c>
    </row>
    <row r="279" spans="1:5" x14ac:dyDescent="0.15">
      <c r="A279" s="8">
        <v>90002</v>
      </c>
      <c r="B279" s="40" t="s">
        <v>332</v>
      </c>
      <c r="C279" s="40" t="s">
        <v>335</v>
      </c>
      <c r="D279" s="10" t="s">
        <v>336</v>
      </c>
    </row>
    <row r="280" spans="1:5" x14ac:dyDescent="0.15">
      <c r="A280" s="8">
        <v>90003</v>
      </c>
      <c r="B280" s="40" t="s">
        <v>332</v>
      </c>
      <c r="C280" s="40" t="s">
        <v>337</v>
      </c>
      <c r="D280" s="10" t="s">
        <v>338</v>
      </c>
    </row>
    <row r="281" spans="1:5" x14ac:dyDescent="0.15">
      <c r="A281" s="8">
        <v>90004</v>
      </c>
      <c r="B281" s="40" t="s">
        <v>332</v>
      </c>
      <c r="C281" s="40" t="s">
        <v>339</v>
      </c>
      <c r="D281" s="10" t="s">
        <v>340</v>
      </c>
    </row>
    <row r="282" spans="1:5" x14ac:dyDescent="0.15">
      <c r="A282" s="8">
        <v>90005</v>
      </c>
      <c r="B282" s="40" t="s">
        <v>332</v>
      </c>
      <c r="C282" s="40" t="s">
        <v>341</v>
      </c>
      <c r="D282" s="10" t="s">
        <v>342</v>
      </c>
    </row>
    <row r="283" spans="1:5" x14ac:dyDescent="0.15">
      <c r="A283" s="8">
        <v>90006</v>
      </c>
      <c r="B283" s="40" t="s">
        <v>332</v>
      </c>
      <c r="C283" s="40" t="s">
        <v>343</v>
      </c>
      <c r="D283" s="10" t="s">
        <v>344</v>
      </c>
    </row>
    <row r="284" spans="1:5" x14ac:dyDescent="0.15">
      <c r="A284" s="8">
        <v>90007</v>
      </c>
      <c r="B284" s="40" t="s">
        <v>332</v>
      </c>
      <c r="C284" s="40" t="s">
        <v>345</v>
      </c>
      <c r="D284" s="10" t="s">
        <v>346</v>
      </c>
    </row>
    <row r="285" spans="1:5" x14ac:dyDescent="0.15">
      <c r="A285" s="8">
        <v>90008</v>
      </c>
      <c r="B285" s="40" t="s">
        <v>332</v>
      </c>
      <c r="C285" s="40" t="s">
        <v>347</v>
      </c>
      <c r="D285" s="10" t="s">
        <v>348</v>
      </c>
    </row>
    <row r="286" spans="1:5" x14ac:dyDescent="0.15">
      <c r="A286" s="8">
        <v>90009</v>
      </c>
      <c r="B286" s="40" t="s">
        <v>332</v>
      </c>
      <c r="C286" s="40" t="s">
        <v>349</v>
      </c>
      <c r="D286" s="10" t="s">
        <v>350</v>
      </c>
    </row>
    <row r="287" spans="1:5" x14ac:dyDescent="0.15">
      <c r="A287" s="8">
        <v>90010</v>
      </c>
      <c r="B287" s="40" t="s">
        <v>351</v>
      </c>
      <c r="C287" s="40" t="s">
        <v>352</v>
      </c>
      <c r="D287" s="10" t="s">
        <v>353</v>
      </c>
    </row>
    <row r="288" spans="1:5" x14ac:dyDescent="0.15">
      <c r="A288" s="8">
        <v>90011</v>
      </c>
      <c r="B288" s="40" t="s">
        <v>351</v>
      </c>
      <c r="C288" s="40" t="s">
        <v>354</v>
      </c>
      <c r="D288" s="10" t="s">
        <v>355</v>
      </c>
    </row>
    <row r="289" spans="1:4" x14ac:dyDescent="0.15">
      <c r="A289" s="8">
        <v>90012</v>
      </c>
      <c r="B289" s="40" t="s">
        <v>351</v>
      </c>
      <c r="C289" s="40" t="s">
        <v>356</v>
      </c>
      <c r="D289" s="10" t="s">
        <v>357</v>
      </c>
    </row>
    <row r="290" spans="1:4" x14ac:dyDescent="0.15">
      <c r="A290" s="8">
        <v>90013</v>
      </c>
      <c r="B290" s="40" t="s">
        <v>351</v>
      </c>
      <c r="C290" s="40" t="s">
        <v>358</v>
      </c>
      <c r="D290" s="10" t="s">
        <v>359</v>
      </c>
    </row>
    <row r="291" spans="1:4" x14ac:dyDescent="0.15">
      <c r="A291" s="8">
        <v>90014</v>
      </c>
      <c r="B291" s="40" t="s">
        <v>351</v>
      </c>
      <c r="C291" s="40" t="s">
        <v>352</v>
      </c>
      <c r="D291" s="10" t="s">
        <v>360</v>
      </c>
    </row>
    <row r="292" spans="1:4" x14ac:dyDescent="0.15">
      <c r="A292" s="8">
        <v>90015</v>
      </c>
      <c r="B292" s="40" t="s">
        <v>361</v>
      </c>
      <c r="C292" s="40" t="s">
        <v>362</v>
      </c>
      <c r="D292" s="10" t="s">
        <v>363</v>
      </c>
    </row>
    <row r="293" spans="1:4" x14ac:dyDescent="0.15">
      <c r="A293" s="8">
        <v>90016</v>
      </c>
      <c r="B293" s="40" t="s">
        <v>361</v>
      </c>
      <c r="C293" s="40" t="s">
        <v>364</v>
      </c>
      <c r="D293" s="10" t="s">
        <v>365</v>
      </c>
    </row>
    <row r="294" spans="1:4" x14ac:dyDescent="0.15">
      <c r="A294" s="8">
        <v>90017</v>
      </c>
      <c r="B294" s="40" t="s">
        <v>361</v>
      </c>
      <c r="C294" s="40" t="s">
        <v>366</v>
      </c>
      <c r="D294" s="10" t="s">
        <v>367</v>
      </c>
    </row>
    <row r="295" spans="1:4" x14ac:dyDescent="0.15">
      <c r="A295" s="8">
        <v>90018</v>
      </c>
      <c r="B295" s="40" t="s">
        <v>361</v>
      </c>
      <c r="C295" s="40" t="s">
        <v>368</v>
      </c>
      <c r="D295" s="10" t="s">
        <v>369</v>
      </c>
    </row>
    <row r="296" spans="1:4" x14ac:dyDescent="0.15">
      <c r="A296" s="8">
        <v>90019</v>
      </c>
      <c r="B296" s="40" t="s">
        <v>361</v>
      </c>
      <c r="C296" s="40" t="s">
        <v>366</v>
      </c>
      <c r="D296" s="10" t="s">
        <v>370</v>
      </c>
    </row>
    <row r="297" spans="1:4" x14ac:dyDescent="0.15">
      <c r="A297" s="8">
        <v>90020</v>
      </c>
      <c r="B297" s="40" t="s">
        <v>371</v>
      </c>
      <c r="C297" s="40" t="s">
        <v>372</v>
      </c>
      <c r="D297" s="10" t="s">
        <v>373</v>
      </c>
    </row>
    <row r="298" spans="1:4" x14ac:dyDescent="0.15">
      <c r="A298" s="8">
        <v>90021</v>
      </c>
      <c r="B298" s="40" t="s">
        <v>371</v>
      </c>
      <c r="C298" s="40" t="s">
        <v>374</v>
      </c>
      <c r="D298" s="10" t="s">
        <v>375</v>
      </c>
    </row>
    <row r="299" spans="1:4" x14ac:dyDescent="0.15">
      <c r="A299" s="8">
        <v>90022</v>
      </c>
      <c r="B299" s="40" t="s">
        <v>371</v>
      </c>
      <c r="C299" s="40" t="s">
        <v>376</v>
      </c>
      <c r="D299" s="10" t="s">
        <v>377</v>
      </c>
    </row>
    <row r="300" spans="1:4" x14ac:dyDescent="0.15">
      <c r="A300" s="8">
        <v>90023</v>
      </c>
      <c r="B300" s="40" t="s">
        <v>371</v>
      </c>
      <c r="C300" s="40" t="s">
        <v>378</v>
      </c>
      <c r="D300" s="10" t="s">
        <v>379</v>
      </c>
    </row>
    <row r="301" spans="1:4" x14ac:dyDescent="0.15">
      <c r="A301" s="8">
        <v>90024</v>
      </c>
      <c r="B301" s="40" t="s">
        <v>371</v>
      </c>
      <c r="C301" s="40" t="s">
        <v>380</v>
      </c>
      <c r="D301" s="10" t="s">
        <v>381</v>
      </c>
    </row>
    <row r="302" spans="1:4" x14ac:dyDescent="0.15">
      <c r="A302" s="8">
        <v>90025</v>
      </c>
      <c r="B302" s="40" t="s">
        <v>371</v>
      </c>
      <c r="C302" s="40" t="s">
        <v>372</v>
      </c>
      <c r="D302" s="10" t="s">
        <v>382</v>
      </c>
    </row>
    <row r="303" spans="1:4" x14ac:dyDescent="0.15">
      <c r="A303" s="8">
        <v>90026</v>
      </c>
      <c r="B303" s="40" t="s">
        <v>383</v>
      </c>
      <c r="C303" s="40" t="s">
        <v>384</v>
      </c>
      <c r="D303" s="10" t="s">
        <v>385</v>
      </c>
    </row>
    <row r="304" spans="1:4" x14ac:dyDescent="0.15">
      <c r="A304" s="8">
        <v>90027</v>
      </c>
      <c r="B304" s="40" t="s">
        <v>383</v>
      </c>
      <c r="C304" s="40" t="s">
        <v>386</v>
      </c>
      <c r="D304" s="10" t="s">
        <v>387</v>
      </c>
    </row>
    <row r="305" spans="1:4" x14ac:dyDescent="0.15">
      <c r="A305" s="8">
        <v>90028</v>
      </c>
      <c r="B305" s="40" t="s">
        <v>383</v>
      </c>
      <c r="C305" s="40" t="s">
        <v>388</v>
      </c>
      <c r="D305" s="10" t="s">
        <v>389</v>
      </c>
    </row>
    <row r="306" spans="1:4" x14ac:dyDescent="0.15">
      <c r="A306" s="8">
        <v>90029</v>
      </c>
      <c r="B306" s="40" t="s">
        <v>383</v>
      </c>
      <c r="C306" s="40" t="s">
        <v>390</v>
      </c>
      <c r="D306" s="10" t="s">
        <v>391</v>
      </c>
    </row>
    <row r="307" spans="1:4" x14ac:dyDescent="0.15">
      <c r="A307" s="8">
        <v>90030</v>
      </c>
      <c r="B307" s="40" t="s">
        <v>383</v>
      </c>
      <c r="C307" s="40" t="s">
        <v>384</v>
      </c>
      <c r="D307" s="10" t="s">
        <v>392</v>
      </c>
    </row>
    <row r="308" spans="1:4" x14ac:dyDescent="0.15">
      <c r="A308" s="8">
        <v>90031</v>
      </c>
      <c r="B308" s="40" t="s">
        <v>393</v>
      </c>
      <c r="C308" s="40" t="s">
        <v>394</v>
      </c>
      <c r="D308" s="10" t="s">
        <v>395</v>
      </c>
    </row>
    <row r="309" spans="1:4" x14ac:dyDescent="0.15">
      <c r="A309" s="8">
        <v>90032</v>
      </c>
      <c r="B309" s="40" t="s">
        <v>393</v>
      </c>
      <c r="C309" s="40" t="s">
        <v>396</v>
      </c>
      <c r="D309" s="10" t="s">
        <v>397</v>
      </c>
    </row>
    <row r="310" spans="1:4" x14ac:dyDescent="0.15">
      <c r="A310" s="8">
        <v>90033</v>
      </c>
      <c r="B310" s="40" t="s">
        <v>393</v>
      </c>
      <c r="C310" s="40" t="s">
        <v>398</v>
      </c>
      <c r="D310" s="10" t="s">
        <v>399</v>
      </c>
    </row>
    <row r="311" spans="1:4" x14ac:dyDescent="0.15">
      <c r="A311" s="8">
        <v>90034</v>
      </c>
      <c r="B311" s="40" t="s">
        <v>393</v>
      </c>
      <c r="C311" s="40" t="s">
        <v>400</v>
      </c>
      <c r="D311" s="10" t="s">
        <v>401</v>
      </c>
    </row>
    <row r="312" spans="1:4" x14ac:dyDescent="0.15">
      <c r="A312" s="8">
        <v>90035</v>
      </c>
      <c r="B312" s="40" t="s">
        <v>393</v>
      </c>
      <c r="C312" s="40" t="s">
        <v>402</v>
      </c>
      <c r="D312" s="10" t="s">
        <v>403</v>
      </c>
    </row>
    <row r="313" spans="1:4" x14ac:dyDescent="0.15">
      <c r="A313" s="8">
        <v>90036</v>
      </c>
      <c r="B313" s="40" t="s">
        <v>393</v>
      </c>
      <c r="C313" s="40" t="s">
        <v>404</v>
      </c>
      <c r="D313" s="10" t="s">
        <v>405</v>
      </c>
    </row>
    <row r="314" spans="1:4" x14ac:dyDescent="0.15">
      <c r="A314" s="8">
        <v>90037</v>
      </c>
      <c r="B314" s="40" t="s">
        <v>393</v>
      </c>
      <c r="C314" s="40" t="s">
        <v>406</v>
      </c>
      <c r="D314" s="10" t="s">
        <v>407</v>
      </c>
    </row>
    <row r="315" spans="1:4" x14ac:dyDescent="0.15">
      <c r="A315" s="8">
        <v>90038</v>
      </c>
      <c r="B315" s="40" t="s">
        <v>393</v>
      </c>
      <c r="C315" s="40" t="s">
        <v>408</v>
      </c>
      <c r="D315" s="10" t="s">
        <v>409</v>
      </c>
    </row>
    <row r="316" spans="1:4" x14ac:dyDescent="0.15">
      <c r="A316" s="8">
        <v>90039</v>
      </c>
      <c r="B316" s="40" t="s">
        <v>393</v>
      </c>
      <c r="C316" s="40" t="s">
        <v>394</v>
      </c>
      <c r="D316" s="10" t="s">
        <v>410</v>
      </c>
    </row>
    <row r="317" spans="1:4" x14ac:dyDescent="0.15">
      <c r="A317" s="8">
        <v>90040</v>
      </c>
      <c r="B317" s="40" t="s">
        <v>565</v>
      </c>
      <c r="C317" s="40" t="s">
        <v>411</v>
      </c>
      <c r="D317" s="10" t="s">
        <v>411</v>
      </c>
    </row>
    <row r="318" spans="1:4" x14ac:dyDescent="0.15">
      <c r="A318" s="73">
        <v>999999</v>
      </c>
      <c r="B318" s="74" t="s">
        <v>98</v>
      </c>
      <c r="C318" s="74" t="s">
        <v>99</v>
      </c>
      <c r="D318" s="75" t="s">
        <v>412</v>
      </c>
    </row>
  </sheetData>
  <phoneticPr fontId="1"/>
  <pageMargins left="0.70866141732283472" right="0.70866141732283472" top="0.55118110236220474" bottom="0.15748031496062992" header="0.31496062992125984" footer="0.11811023622047245"/>
  <pageSetup paperSize="9" scale="94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7FA4-8AE3-4E4F-AF33-D2B7AA208BA0}">
  <sheetPr>
    <tabColor theme="0" tint="-0.14999847407452621"/>
    <pageSetUpPr fitToPage="1"/>
  </sheetPr>
  <dimension ref="A1:E204"/>
  <sheetViews>
    <sheetView zoomScale="115" zoomScaleNormal="115" workbookViewId="0">
      <selection activeCell="C146" sqref="C146"/>
    </sheetView>
  </sheetViews>
  <sheetFormatPr defaultColWidth="9" defaultRowHeight="13.5" x14ac:dyDescent="0.15"/>
  <cols>
    <col min="1" max="1" width="11.25" style="41" customWidth="1"/>
    <col min="2" max="2" width="9.5" style="42" bestFit="1" customWidth="1"/>
    <col min="3" max="3" width="13.875" style="42" bestFit="1" customWidth="1"/>
    <col min="4" max="4" width="30" style="68" customWidth="1"/>
    <col min="5" max="5" width="34.125" style="41" bestFit="1" customWidth="1"/>
    <col min="6" max="16384" width="9" style="41"/>
  </cols>
  <sheetData>
    <row r="1" spans="1:4" x14ac:dyDescent="0.15">
      <c r="A1" s="41" t="s">
        <v>0</v>
      </c>
      <c r="D1" s="43">
        <f>小学校コード一覧表!D1</f>
        <v>46085</v>
      </c>
    </row>
    <row r="2" spans="1:4" ht="14.25" thickBot="1" x14ac:dyDescent="0.2">
      <c r="A2" s="90" t="s">
        <v>1</v>
      </c>
      <c r="B2" s="91" t="s">
        <v>2</v>
      </c>
      <c r="C2" s="91" t="s">
        <v>3</v>
      </c>
      <c r="D2" s="92" t="s">
        <v>413</v>
      </c>
    </row>
    <row r="3" spans="1:4" x14ac:dyDescent="0.15">
      <c r="A3" s="46">
        <v>210101</v>
      </c>
      <c r="B3" s="47" t="s">
        <v>5</v>
      </c>
      <c r="C3" s="47" t="s">
        <v>6</v>
      </c>
      <c r="D3" s="76" t="s">
        <v>414</v>
      </c>
    </row>
    <row r="4" spans="1:4" x14ac:dyDescent="0.15">
      <c r="A4" s="48">
        <v>210102</v>
      </c>
      <c r="B4" s="49" t="s">
        <v>5</v>
      </c>
      <c r="C4" s="49" t="s">
        <v>6</v>
      </c>
      <c r="D4" s="77" t="s">
        <v>415</v>
      </c>
    </row>
    <row r="5" spans="1:4" x14ac:dyDescent="0.15">
      <c r="A5" s="48">
        <v>210103</v>
      </c>
      <c r="B5" s="49" t="s">
        <v>5</v>
      </c>
      <c r="C5" s="49" t="s">
        <v>6</v>
      </c>
      <c r="D5" s="77" t="s">
        <v>416</v>
      </c>
    </row>
    <row r="6" spans="1:4" x14ac:dyDescent="0.15">
      <c r="A6" s="48">
        <v>210104</v>
      </c>
      <c r="B6" s="49" t="s">
        <v>5</v>
      </c>
      <c r="C6" s="49" t="s">
        <v>6</v>
      </c>
      <c r="D6" s="77" t="s">
        <v>417</v>
      </c>
    </row>
    <row r="7" spans="1:4" x14ac:dyDescent="0.15">
      <c r="A7" s="48">
        <v>210105</v>
      </c>
      <c r="B7" s="49" t="s">
        <v>5</v>
      </c>
      <c r="C7" s="49" t="s">
        <v>6</v>
      </c>
      <c r="D7" s="77" t="s">
        <v>418</v>
      </c>
    </row>
    <row r="8" spans="1:4" x14ac:dyDescent="0.15">
      <c r="A8" s="48">
        <v>210106</v>
      </c>
      <c r="B8" s="49" t="s">
        <v>5</v>
      </c>
      <c r="C8" s="49" t="s">
        <v>6</v>
      </c>
      <c r="D8" s="77" t="s">
        <v>419</v>
      </c>
    </row>
    <row r="9" spans="1:4" x14ac:dyDescent="0.15">
      <c r="A9" s="48">
        <v>210107</v>
      </c>
      <c r="B9" s="49" t="s">
        <v>5</v>
      </c>
      <c r="C9" s="49" t="s">
        <v>6</v>
      </c>
      <c r="D9" s="77" t="s">
        <v>420</v>
      </c>
    </row>
    <row r="10" spans="1:4" x14ac:dyDescent="0.15">
      <c r="A10" s="48">
        <v>210108</v>
      </c>
      <c r="B10" s="49" t="s">
        <v>5</v>
      </c>
      <c r="C10" s="49" t="s">
        <v>6</v>
      </c>
      <c r="D10" s="77" t="s">
        <v>421</v>
      </c>
    </row>
    <row r="11" spans="1:4" x14ac:dyDescent="0.15">
      <c r="A11" s="48">
        <v>210109</v>
      </c>
      <c r="B11" s="49" t="s">
        <v>5</v>
      </c>
      <c r="C11" s="49" t="s">
        <v>6</v>
      </c>
      <c r="D11" s="77" t="s">
        <v>422</v>
      </c>
    </row>
    <row r="12" spans="1:4" x14ac:dyDescent="0.15">
      <c r="A12" s="48">
        <v>210110</v>
      </c>
      <c r="B12" s="49" t="s">
        <v>5</v>
      </c>
      <c r="C12" s="49" t="s">
        <v>6</v>
      </c>
      <c r="D12" s="77" t="s">
        <v>423</v>
      </c>
    </row>
    <row r="13" spans="1:4" x14ac:dyDescent="0.15">
      <c r="A13" s="48">
        <v>210112</v>
      </c>
      <c r="B13" s="49" t="s">
        <v>5</v>
      </c>
      <c r="C13" s="49" t="s">
        <v>6</v>
      </c>
      <c r="D13" s="77" t="s">
        <v>424</v>
      </c>
    </row>
    <row r="14" spans="1:4" x14ac:dyDescent="0.15">
      <c r="A14" s="48">
        <v>210113</v>
      </c>
      <c r="B14" s="49" t="s">
        <v>5</v>
      </c>
      <c r="C14" s="49" t="s">
        <v>6</v>
      </c>
      <c r="D14" s="77" t="s">
        <v>425</v>
      </c>
    </row>
    <row r="15" spans="1:4" x14ac:dyDescent="0.15">
      <c r="A15" s="48">
        <v>210114</v>
      </c>
      <c r="B15" s="49" t="s">
        <v>5</v>
      </c>
      <c r="C15" s="49" t="s">
        <v>6</v>
      </c>
      <c r="D15" s="77" t="s">
        <v>426</v>
      </c>
    </row>
    <row r="16" spans="1:4" x14ac:dyDescent="0.15">
      <c r="A16" s="48">
        <v>210115</v>
      </c>
      <c r="B16" s="49" t="s">
        <v>5</v>
      </c>
      <c r="C16" s="49" t="s">
        <v>6</v>
      </c>
      <c r="D16" s="77" t="s">
        <v>427</v>
      </c>
    </row>
    <row r="17" spans="1:5" x14ac:dyDescent="0.15">
      <c r="A17" s="48">
        <v>210116</v>
      </c>
      <c r="B17" s="49" t="s">
        <v>5</v>
      </c>
      <c r="C17" s="49" t="s">
        <v>6</v>
      </c>
      <c r="D17" s="77" t="s">
        <v>428</v>
      </c>
    </row>
    <row r="18" spans="1:5" x14ac:dyDescent="0.15">
      <c r="A18" s="48">
        <v>210117</v>
      </c>
      <c r="B18" s="49" t="s">
        <v>5</v>
      </c>
      <c r="C18" s="49" t="s">
        <v>6</v>
      </c>
      <c r="D18" s="77" t="s">
        <v>429</v>
      </c>
    </row>
    <row r="19" spans="1:5" x14ac:dyDescent="0.15">
      <c r="A19" s="48">
        <v>210118</v>
      </c>
      <c r="B19" s="49" t="s">
        <v>5</v>
      </c>
      <c r="C19" s="49" t="s">
        <v>6</v>
      </c>
      <c r="D19" s="77" t="s">
        <v>430</v>
      </c>
    </row>
    <row r="20" spans="1:5" x14ac:dyDescent="0.15">
      <c r="A20" s="48">
        <v>210119</v>
      </c>
      <c r="B20" s="49" t="s">
        <v>5</v>
      </c>
      <c r="C20" s="49" t="s">
        <v>6</v>
      </c>
      <c r="D20" s="77" t="s">
        <v>431</v>
      </c>
    </row>
    <row r="21" spans="1:5" x14ac:dyDescent="0.15">
      <c r="A21" s="48">
        <v>210120</v>
      </c>
      <c r="B21" s="49" t="s">
        <v>5</v>
      </c>
      <c r="C21" s="49" t="s">
        <v>6</v>
      </c>
      <c r="D21" s="77" t="s">
        <v>432</v>
      </c>
      <c r="E21" s="41" t="s">
        <v>433</v>
      </c>
    </row>
    <row r="22" spans="1:5" x14ac:dyDescent="0.15">
      <c r="A22" s="50">
        <v>210121</v>
      </c>
      <c r="B22" s="51" t="s">
        <v>5</v>
      </c>
      <c r="C22" s="51" t="s">
        <v>6</v>
      </c>
      <c r="D22" s="78" t="s">
        <v>434</v>
      </c>
      <c r="E22" s="41" t="s">
        <v>45</v>
      </c>
    </row>
    <row r="23" spans="1:5" x14ac:dyDescent="0.15">
      <c r="A23" s="48">
        <v>210123</v>
      </c>
      <c r="B23" s="49" t="s">
        <v>5</v>
      </c>
      <c r="C23" s="49" t="s">
        <v>6</v>
      </c>
      <c r="D23" s="77" t="s">
        <v>435</v>
      </c>
    </row>
    <row r="24" spans="1:5" x14ac:dyDescent="0.15">
      <c r="A24" s="52">
        <v>210124</v>
      </c>
      <c r="B24" s="53" t="s">
        <v>5</v>
      </c>
      <c r="C24" s="53" t="s">
        <v>6</v>
      </c>
      <c r="D24" s="79" t="s">
        <v>436</v>
      </c>
    </row>
    <row r="25" spans="1:5" x14ac:dyDescent="0.15">
      <c r="A25" s="48">
        <v>210125</v>
      </c>
      <c r="B25" s="49" t="s">
        <v>5</v>
      </c>
      <c r="C25" s="49" t="s">
        <v>6</v>
      </c>
      <c r="D25" s="77" t="s">
        <v>437</v>
      </c>
    </row>
    <row r="26" spans="1:5" x14ac:dyDescent="0.15">
      <c r="A26" s="48">
        <v>210201</v>
      </c>
      <c r="B26" s="49" t="s">
        <v>5</v>
      </c>
      <c r="C26" s="49" t="s">
        <v>49</v>
      </c>
      <c r="D26" s="77" t="s">
        <v>438</v>
      </c>
    </row>
    <row r="27" spans="1:5" x14ac:dyDescent="0.15">
      <c r="A27" s="48">
        <v>210202</v>
      </c>
      <c r="B27" s="49" t="s">
        <v>5</v>
      </c>
      <c r="C27" s="49" t="s">
        <v>49</v>
      </c>
      <c r="D27" s="77" t="s">
        <v>439</v>
      </c>
    </row>
    <row r="28" spans="1:5" x14ac:dyDescent="0.15">
      <c r="A28" s="48">
        <v>210204</v>
      </c>
      <c r="B28" s="49" t="s">
        <v>5</v>
      </c>
      <c r="C28" s="49" t="s">
        <v>49</v>
      </c>
      <c r="D28" s="77" t="s">
        <v>440</v>
      </c>
    </row>
    <row r="29" spans="1:5" x14ac:dyDescent="0.15">
      <c r="A29" s="48">
        <v>210301</v>
      </c>
      <c r="B29" s="49" t="s">
        <v>5</v>
      </c>
      <c r="C29" s="49" t="s">
        <v>53</v>
      </c>
      <c r="D29" s="77" t="s">
        <v>441</v>
      </c>
    </row>
    <row r="30" spans="1:5" x14ac:dyDescent="0.15">
      <c r="A30" s="48">
        <v>210401</v>
      </c>
      <c r="B30" s="49" t="s">
        <v>5</v>
      </c>
      <c r="C30" s="49" t="s">
        <v>59</v>
      </c>
      <c r="D30" s="77" t="s">
        <v>442</v>
      </c>
    </row>
    <row r="31" spans="1:5" x14ac:dyDescent="0.15">
      <c r="A31" s="48">
        <v>210402</v>
      </c>
      <c r="B31" s="49" t="s">
        <v>5</v>
      </c>
      <c r="C31" s="49" t="s">
        <v>59</v>
      </c>
      <c r="D31" s="77" t="s">
        <v>443</v>
      </c>
    </row>
    <row r="32" spans="1:5" x14ac:dyDescent="0.15">
      <c r="A32" s="48">
        <v>210403</v>
      </c>
      <c r="B32" s="49" t="s">
        <v>5</v>
      </c>
      <c r="C32" s="49" t="s">
        <v>59</v>
      </c>
      <c r="D32" s="77" t="s">
        <v>444</v>
      </c>
    </row>
    <row r="33" spans="1:4" x14ac:dyDescent="0.15">
      <c r="A33" s="48">
        <v>210501</v>
      </c>
      <c r="B33" s="49" t="s">
        <v>5</v>
      </c>
      <c r="C33" s="49" t="s">
        <v>64</v>
      </c>
      <c r="D33" s="77" t="s">
        <v>445</v>
      </c>
    </row>
    <row r="34" spans="1:4" x14ac:dyDescent="0.15">
      <c r="A34" s="48">
        <v>210502</v>
      </c>
      <c r="B34" s="49" t="s">
        <v>5</v>
      </c>
      <c r="C34" s="49" t="s">
        <v>64</v>
      </c>
      <c r="D34" s="77" t="s">
        <v>446</v>
      </c>
    </row>
    <row r="35" spans="1:4" x14ac:dyDescent="0.15">
      <c r="A35" s="48">
        <v>210503</v>
      </c>
      <c r="B35" s="49" t="s">
        <v>5</v>
      </c>
      <c r="C35" s="49" t="s">
        <v>64</v>
      </c>
      <c r="D35" s="77" t="s">
        <v>447</v>
      </c>
    </row>
    <row r="36" spans="1:4" x14ac:dyDescent="0.15">
      <c r="A36" s="48">
        <v>210504</v>
      </c>
      <c r="B36" s="49" t="s">
        <v>5</v>
      </c>
      <c r="C36" s="49" t="s">
        <v>64</v>
      </c>
      <c r="D36" s="77" t="s">
        <v>448</v>
      </c>
    </row>
    <row r="37" spans="1:4" x14ac:dyDescent="0.15">
      <c r="A37" s="48">
        <v>210505</v>
      </c>
      <c r="B37" s="49" t="s">
        <v>5</v>
      </c>
      <c r="C37" s="49" t="s">
        <v>64</v>
      </c>
      <c r="D37" s="77" t="s">
        <v>449</v>
      </c>
    </row>
    <row r="38" spans="1:4" x14ac:dyDescent="0.15">
      <c r="A38" s="48">
        <v>210506</v>
      </c>
      <c r="B38" s="49" t="s">
        <v>5</v>
      </c>
      <c r="C38" s="49" t="s">
        <v>64</v>
      </c>
      <c r="D38" s="77" t="s">
        <v>450</v>
      </c>
    </row>
    <row r="39" spans="1:4" x14ac:dyDescent="0.15">
      <c r="A39" s="48">
        <v>210601</v>
      </c>
      <c r="B39" s="49" t="s">
        <v>5</v>
      </c>
      <c r="C39" s="49" t="s">
        <v>76</v>
      </c>
      <c r="D39" s="77" t="s">
        <v>451</v>
      </c>
    </row>
    <row r="40" spans="1:4" x14ac:dyDescent="0.15">
      <c r="A40" s="48">
        <v>210602</v>
      </c>
      <c r="B40" s="49" t="s">
        <v>5</v>
      </c>
      <c r="C40" s="49" t="s">
        <v>76</v>
      </c>
      <c r="D40" s="77" t="s">
        <v>452</v>
      </c>
    </row>
    <row r="41" spans="1:4" x14ac:dyDescent="0.15">
      <c r="A41" s="48">
        <v>210603</v>
      </c>
      <c r="B41" s="49" t="s">
        <v>5</v>
      </c>
      <c r="C41" s="49" t="s">
        <v>76</v>
      </c>
      <c r="D41" s="77" t="s">
        <v>453</v>
      </c>
    </row>
    <row r="42" spans="1:4" x14ac:dyDescent="0.15">
      <c r="A42" s="48">
        <v>210701</v>
      </c>
      <c r="B42" s="49" t="s">
        <v>5</v>
      </c>
      <c r="C42" s="49" t="s">
        <v>82</v>
      </c>
      <c r="D42" s="77" t="s">
        <v>454</v>
      </c>
    </row>
    <row r="43" spans="1:4" x14ac:dyDescent="0.15">
      <c r="A43" s="48">
        <v>210702</v>
      </c>
      <c r="B43" s="49" t="s">
        <v>5</v>
      </c>
      <c r="C43" s="49" t="s">
        <v>82</v>
      </c>
      <c r="D43" s="77" t="s">
        <v>455</v>
      </c>
    </row>
    <row r="44" spans="1:4" x14ac:dyDescent="0.15">
      <c r="A44" s="52">
        <v>210801</v>
      </c>
      <c r="B44" s="53" t="s">
        <v>5</v>
      </c>
      <c r="C44" s="53" t="s">
        <v>87</v>
      </c>
      <c r="D44" s="79" t="s">
        <v>456</v>
      </c>
    </row>
    <row r="45" spans="1:4" x14ac:dyDescent="0.15">
      <c r="A45" s="48">
        <v>210802</v>
      </c>
      <c r="B45" s="49" t="s">
        <v>5</v>
      </c>
      <c r="C45" s="49" t="s">
        <v>87</v>
      </c>
      <c r="D45" s="77" t="s">
        <v>457</v>
      </c>
    </row>
    <row r="46" spans="1:4" x14ac:dyDescent="0.15">
      <c r="A46" s="48">
        <v>210803</v>
      </c>
      <c r="B46" s="49" t="s">
        <v>5</v>
      </c>
      <c r="C46" s="49" t="s">
        <v>87</v>
      </c>
      <c r="D46" s="77" t="s">
        <v>458</v>
      </c>
    </row>
    <row r="47" spans="1:4" ht="14.25" thickBot="1" x14ac:dyDescent="0.2">
      <c r="A47" s="54">
        <v>210804</v>
      </c>
      <c r="B47" s="55" t="s">
        <v>5</v>
      </c>
      <c r="C47" s="55" t="s">
        <v>87</v>
      </c>
      <c r="D47" s="80" t="s">
        <v>459</v>
      </c>
    </row>
    <row r="48" spans="1:4" x14ac:dyDescent="0.15">
      <c r="A48" s="52">
        <v>220901</v>
      </c>
      <c r="B48" s="53" t="s">
        <v>98</v>
      </c>
      <c r="C48" s="53" t="s">
        <v>99</v>
      </c>
      <c r="D48" s="79" t="s">
        <v>460</v>
      </c>
    </row>
    <row r="49" spans="1:5" x14ac:dyDescent="0.15">
      <c r="A49" s="48">
        <v>220902</v>
      </c>
      <c r="B49" s="49" t="s">
        <v>98</v>
      </c>
      <c r="C49" s="49" t="s">
        <v>99</v>
      </c>
      <c r="D49" s="77" t="s">
        <v>461</v>
      </c>
    </row>
    <row r="50" spans="1:5" x14ac:dyDescent="0.15">
      <c r="A50" s="48">
        <v>220903</v>
      </c>
      <c r="B50" s="49" t="s">
        <v>98</v>
      </c>
      <c r="C50" s="49" t="s">
        <v>99</v>
      </c>
      <c r="D50" s="77" t="s">
        <v>462</v>
      </c>
    </row>
    <row r="51" spans="1:5" x14ac:dyDescent="0.15">
      <c r="A51" s="48">
        <v>220904</v>
      </c>
      <c r="B51" s="49" t="s">
        <v>98</v>
      </c>
      <c r="C51" s="49" t="s">
        <v>99</v>
      </c>
      <c r="D51" s="77" t="s">
        <v>463</v>
      </c>
    </row>
    <row r="52" spans="1:5" x14ac:dyDescent="0.15">
      <c r="A52" s="48">
        <v>220905</v>
      </c>
      <c r="B52" s="49" t="s">
        <v>98</v>
      </c>
      <c r="C52" s="49" t="s">
        <v>99</v>
      </c>
      <c r="D52" s="77" t="s">
        <v>464</v>
      </c>
    </row>
    <row r="53" spans="1:5" x14ac:dyDescent="0.15">
      <c r="A53" s="48">
        <v>220906</v>
      </c>
      <c r="B53" s="49" t="s">
        <v>98</v>
      </c>
      <c r="C53" s="49" t="s">
        <v>99</v>
      </c>
      <c r="D53" s="77" t="s">
        <v>465</v>
      </c>
    </row>
    <row r="54" spans="1:5" x14ac:dyDescent="0.15">
      <c r="A54" s="48">
        <v>220907</v>
      </c>
      <c r="B54" s="49" t="s">
        <v>98</v>
      </c>
      <c r="C54" s="49" t="s">
        <v>99</v>
      </c>
      <c r="D54" s="77" t="s">
        <v>466</v>
      </c>
    </row>
    <row r="55" spans="1:5" x14ac:dyDescent="0.15">
      <c r="A55" s="48">
        <v>220908</v>
      </c>
      <c r="B55" s="49" t="s">
        <v>98</v>
      </c>
      <c r="C55" s="49" t="s">
        <v>99</v>
      </c>
      <c r="D55" s="77" t="s">
        <v>467</v>
      </c>
    </row>
    <row r="56" spans="1:5" x14ac:dyDescent="0.15">
      <c r="A56" s="48">
        <v>220909</v>
      </c>
      <c r="B56" s="49" t="s">
        <v>98</v>
      </c>
      <c r="C56" s="49" t="s">
        <v>99</v>
      </c>
      <c r="D56" s="77" t="s">
        <v>468</v>
      </c>
    </row>
    <row r="57" spans="1:5" x14ac:dyDescent="0.15">
      <c r="A57" s="48">
        <v>220910</v>
      </c>
      <c r="B57" s="49" t="s">
        <v>98</v>
      </c>
      <c r="C57" s="49" t="s">
        <v>99</v>
      </c>
      <c r="D57" s="77" t="s">
        <v>469</v>
      </c>
    </row>
    <row r="58" spans="1:5" x14ac:dyDescent="0.15">
      <c r="A58" s="48">
        <v>220911</v>
      </c>
      <c r="B58" s="49" t="s">
        <v>98</v>
      </c>
      <c r="C58" s="49" t="s">
        <v>99</v>
      </c>
      <c r="D58" s="77" t="s">
        <v>470</v>
      </c>
    </row>
    <row r="59" spans="1:5" x14ac:dyDescent="0.15">
      <c r="A59" s="48">
        <v>221001</v>
      </c>
      <c r="B59" s="49" t="s">
        <v>98</v>
      </c>
      <c r="C59" s="49" t="s">
        <v>116</v>
      </c>
      <c r="D59" s="77" t="s">
        <v>471</v>
      </c>
    </row>
    <row r="60" spans="1:5" x14ac:dyDescent="0.15">
      <c r="A60" s="48">
        <v>221002</v>
      </c>
      <c r="B60" s="49" t="s">
        <v>98</v>
      </c>
      <c r="C60" s="49" t="s">
        <v>116</v>
      </c>
      <c r="D60" s="77" t="s">
        <v>472</v>
      </c>
    </row>
    <row r="61" spans="1:5" x14ac:dyDescent="0.15">
      <c r="A61" s="48">
        <v>221003</v>
      </c>
      <c r="B61" s="49" t="s">
        <v>98</v>
      </c>
      <c r="C61" s="49" t="s">
        <v>116</v>
      </c>
      <c r="D61" s="77" t="s">
        <v>473</v>
      </c>
    </row>
    <row r="62" spans="1:5" x14ac:dyDescent="0.15">
      <c r="A62" s="48">
        <v>221101</v>
      </c>
      <c r="B62" s="49" t="s">
        <v>98</v>
      </c>
      <c r="C62" s="49" t="s">
        <v>128</v>
      </c>
      <c r="D62" s="77" t="s">
        <v>474</v>
      </c>
    </row>
    <row r="63" spans="1:5" x14ac:dyDescent="0.15">
      <c r="A63" s="48">
        <v>221102</v>
      </c>
      <c r="B63" s="49" t="s">
        <v>98</v>
      </c>
      <c r="C63" s="49" t="s">
        <v>128</v>
      </c>
      <c r="D63" s="77" t="s">
        <v>475</v>
      </c>
      <c r="E63" s="41" t="s">
        <v>476</v>
      </c>
    </row>
    <row r="64" spans="1:5" x14ac:dyDescent="0.15">
      <c r="A64" s="50">
        <v>221103</v>
      </c>
      <c r="B64" s="51" t="s">
        <v>98</v>
      </c>
      <c r="C64" s="51" t="s">
        <v>128</v>
      </c>
      <c r="D64" s="78" t="s">
        <v>477</v>
      </c>
      <c r="E64" s="41" t="s">
        <v>45</v>
      </c>
    </row>
    <row r="65" spans="1:4" x14ac:dyDescent="0.15">
      <c r="A65" s="48">
        <v>221104</v>
      </c>
      <c r="B65" s="49" t="s">
        <v>98</v>
      </c>
      <c r="C65" s="49" t="s">
        <v>128</v>
      </c>
      <c r="D65" s="77" t="s">
        <v>478</v>
      </c>
    </row>
    <row r="66" spans="1:4" x14ac:dyDescent="0.15">
      <c r="A66" s="48">
        <v>221105</v>
      </c>
      <c r="B66" s="49" t="s">
        <v>98</v>
      </c>
      <c r="C66" s="49" t="s">
        <v>128</v>
      </c>
      <c r="D66" s="77" t="s">
        <v>479</v>
      </c>
    </row>
    <row r="67" spans="1:4" x14ac:dyDescent="0.15">
      <c r="A67" s="48">
        <v>221106</v>
      </c>
      <c r="B67" s="49" t="s">
        <v>98</v>
      </c>
      <c r="C67" s="49" t="s">
        <v>128</v>
      </c>
      <c r="D67" s="77" t="s">
        <v>480</v>
      </c>
    </row>
    <row r="68" spans="1:4" x14ac:dyDescent="0.15">
      <c r="A68" s="48">
        <v>221107</v>
      </c>
      <c r="B68" s="49" t="s">
        <v>98</v>
      </c>
      <c r="C68" s="49" t="s">
        <v>128</v>
      </c>
      <c r="D68" s="77" t="s">
        <v>481</v>
      </c>
    </row>
    <row r="69" spans="1:4" x14ac:dyDescent="0.15">
      <c r="A69" s="48">
        <v>221108</v>
      </c>
      <c r="B69" s="49" t="s">
        <v>98</v>
      </c>
      <c r="C69" s="49" t="s">
        <v>128</v>
      </c>
      <c r="D69" s="77" t="s">
        <v>482</v>
      </c>
    </row>
    <row r="70" spans="1:4" x14ac:dyDescent="0.15">
      <c r="A70" s="48">
        <v>221109</v>
      </c>
      <c r="B70" s="49" t="s">
        <v>98</v>
      </c>
      <c r="C70" s="49" t="s">
        <v>128</v>
      </c>
      <c r="D70" s="77" t="s">
        <v>483</v>
      </c>
    </row>
    <row r="71" spans="1:4" x14ac:dyDescent="0.15">
      <c r="A71" s="52">
        <v>221201</v>
      </c>
      <c r="B71" s="53" t="s">
        <v>98</v>
      </c>
      <c r="C71" s="53" t="s">
        <v>143</v>
      </c>
      <c r="D71" s="79" t="s">
        <v>484</v>
      </c>
    </row>
    <row r="72" spans="1:4" ht="14.25" thickBot="1" x14ac:dyDescent="0.2">
      <c r="A72" s="54">
        <v>221202</v>
      </c>
      <c r="B72" s="55" t="s">
        <v>98</v>
      </c>
      <c r="C72" s="55" t="s">
        <v>143</v>
      </c>
      <c r="D72" s="80" t="s">
        <v>485</v>
      </c>
    </row>
    <row r="73" spans="1:4" x14ac:dyDescent="0.15">
      <c r="A73" s="52">
        <v>231301</v>
      </c>
      <c r="B73" s="53" t="s">
        <v>146</v>
      </c>
      <c r="C73" s="53" t="s">
        <v>147</v>
      </c>
      <c r="D73" s="79" t="s">
        <v>486</v>
      </c>
    </row>
    <row r="74" spans="1:4" x14ac:dyDescent="0.15">
      <c r="A74" s="48">
        <v>231302</v>
      </c>
      <c r="B74" s="49" t="s">
        <v>146</v>
      </c>
      <c r="C74" s="49" t="s">
        <v>147</v>
      </c>
      <c r="D74" s="77" t="s">
        <v>487</v>
      </c>
    </row>
    <row r="75" spans="1:4" x14ac:dyDescent="0.15">
      <c r="A75" s="48">
        <v>231303</v>
      </c>
      <c r="B75" s="49" t="s">
        <v>146</v>
      </c>
      <c r="C75" s="49" t="s">
        <v>147</v>
      </c>
      <c r="D75" s="77" t="s">
        <v>488</v>
      </c>
    </row>
    <row r="76" spans="1:4" x14ac:dyDescent="0.15">
      <c r="A76" s="48">
        <v>231304</v>
      </c>
      <c r="B76" s="49" t="s">
        <v>146</v>
      </c>
      <c r="C76" s="49" t="s">
        <v>147</v>
      </c>
      <c r="D76" s="77" t="s">
        <v>489</v>
      </c>
    </row>
    <row r="77" spans="1:4" x14ac:dyDescent="0.15">
      <c r="A77" s="48">
        <v>231307</v>
      </c>
      <c r="B77" s="49" t="s">
        <v>146</v>
      </c>
      <c r="C77" s="49" t="s">
        <v>147</v>
      </c>
      <c r="D77" s="77" t="s">
        <v>490</v>
      </c>
    </row>
    <row r="78" spans="1:4" x14ac:dyDescent="0.15">
      <c r="A78" s="48">
        <v>231308</v>
      </c>
      <c r="B78" s="49" t="s">
        <v>146</v>
      </c>
      <c r="C78" s="49" t="s">
        <v>147</v>
      </c>
      <c r="D78" s="77" t="s">
        <v>491</v>
      </c>
    </row>
    <row r="79" spans="1:4" x14ac:dyDescent="0.15">
      <c r="A79" s="48">
        <v>231309</v>
      </c>
      <c r="B79" s="49" t="s">
        <v>146</v>
      </c>
      <c r="C79" s="49" t="s">
        <v>147</v>
      </c>
      <c r="D79" s="77" t="s">
        <v>492</v>
      </c>
    </row>
    <row r="80" spans="1:4" x14ac:dyDescent="0.15">
      <c r="A80" s="48">
        <v>231401</v>
      </c>
      <c r="B80" s="49" t="s">
        <v>146</v>
      </c>
      <c r="C80" s="49" t="s">
        <v>166</v>
      </c>
      <c r="D80" s="77" t="s">
        <v>493</v>
      </c>
    </row>
    <row r="81" spans="1:4" x14ac:dyDescent="0.15">
      <c r="A81" s="48">
        <v>231501</v>
      </c>
      <c r="B81" s="49" t="s">
        <v>146</v>
      </c>
      <c r="C81" s="49" t="s">
        <v>172</v>
      </c>
      <c r="D81" s="77" t="s">
        <v>494</v>
      </c>
    </row>
    <row r="82" spans="1:4" x14ac:dyDescent="0.15">
      <c r="A82" s="48">
        <v>231502</v>
      </c>
      <c r="B82" s="49" t="s">
        <v>146</v>
      </c>
      <c r="C82" s="49" t="s">
        <v>172</v>
      </c>
      <c r="D82" s="77" t="s">
        <v>495</v>
      </c>
    </row>
    <row r="83" spans="1:4" x14ac:dyDescent="0.15">
      <c r="A83" s="48">
        <v>231504</v>
      </c>
      <c r="B83" s="49" t="s">
        <v>146</v>
      </c>
      <c r="C83" s="49" t="s">
        <v>172</v>
      </c>
      <c r="D83" s="77" t="s">
        <v>496</v>
      </c>
    </row>
    <row r="84" spans="1:4" x14ac:dyDescent="0.15">
      <c r="A84" s="48">
        <v>231505</v>
      </c>
      <c r="B84" s="49" t="s">
        <v>146</v>
      </c>
      <c r="C84" s="49" t="s">
        <v>172</v>
      </c>
      <c r="D84" s="77" t="s">
        <v>497</v>
      </c>
    </row>
    <row r="85" spans="1:4" x14ac:dyDescent="0.15">
      <c r="A85" s="48">
        <v>231506</v>
      </c>
      <c r="B85" s="49" t="s">
        <v>146</v>
      </c>
      <c r="C85" s="49" t="s">
        <v>172</v>
      </c>
      <c r="D85" s="77" t="s">
        <v>498</v>
      </c>
    </row>
    <row r="86" spans="1:4" x14ac:dyDescent="0.15">
      <c r="A86" s="48">
        <v>231507</v>
      </c>
      <c r="B86" s="49" t="s">
        <v>146</v>
      </c>
      <c r="C86" s="49" t="s">
        <v>172</v>
      </c>
      <c r="D86" s="77" t="s">
        <v>499</v>
      </c>
    </row>
    <row r="87" spans="1:4" x14ac:dyDescent="0.15">
      <c r="A87" s="48">
        <v>231509</v>
      </c>
      <c r="B87" s="49" t="s">
        <v>146</v>
      </c>
      <c r="C87" s="49" t="s">
        <v>172</v>
      </c>
      <c r="D87" s="77" t="s">
        <v>500</v>
      </c>
    </row>
    <row r="88" spans="1:4" x14ac:dyDescent="0.15">
      <c r="A88" s="48">
        <v>231510</v>
      </c>
      <c r="B88" s="49" t="s">
        <v>146</v>
      </c>
      <c r="C88" s="49" t="s">
        <v>172</v>
      </c>
      <c r="D88" s="77" t="s">
        <v>501</v>
      </c>
    </row>
    <row r="89" spans="1:4" x14ac:dyDescent="0.15">
      <c r="A89" s="48">
        <v>231511</v>
      </c>
      <c r="B89" s="49" t="s">
        <v>146</v>
      </c>
      <c r="C89" s="49" t="s">
        <v>172</v>
      </c>
      <c r="D89" s="77" t="s">
        <v>502</v>
      </c>
    </row>
    <row r="90" spans="1:4" x14ac:dyDescent="0.15">
      <c r="A90" s="48">
        <v>231513</v>
      </c>
      <c r="B90" s="49" t="s">
        <v>146</v>
      </c>
      <c r="C90" s="49" t="s">
        <v>172</v>
      </c>
      <c r="D90" s="77" t="s">
        <v>503</v>
      </c>
    </row>
    <row r="91" spans="1:4" x14ac:dyDescent="0.15">
      <c r="A91" s="48">
        <v>231516</v>
      </c>
      <c r="B91" s="49" t="s">
        <v>146</v>
      </c>
      <c r="C91" s="49" t="s">
        <v>172</v>
      </c>
      <c r="D91" s="77" t="s">
        <v>504</v>
      </c>
    </row>
    <row r="92" spans="1:4" x14ac:dyDescent="0.15">
      <c r="A92" s="48">
        <v>231517</v>
      </c>
      <c r="B92" s="53" t="s">
        <v>146</v>
      </c>
      <c r="C92" s="53" t="s">
        <v>172</v>
      </c>
      <c r="D92" s="79" t="s">
        <v>505</v>
      </c>
    </row>
    <row r="93" spans="1:4" x14ac:dyDescent="0.15">
      <c r="A93" s="48">
        <v>231518</v>
      </c>
      <c r="B93" s="49" t="s">
        <v>146</v>
      </c>
      <c r="C93" s="49" t="s">
        <v>172</v>
      </c>
      <c r="D93" s="77" t="s">
        <v>506</v>
      </c>
    </row>
    <row r="94" spans="1:4" x14ac:dyDescent="0.15">
      <c r="A94" s="48">
        <v>231519</v>
      </c>
      <c r="B94" s="49" t="s">
        <v>146</v>
      </c>
      <c r="C94" s="49" t="s">
        <v>172</v>
      </c>
      <c r="D94" s="77" t="s">
        <v>507</v>
      </c>
    </row>
    <row r="95" spans="1:4" ht="14.25" thickBot="1" x14ac:dyDescent="0.2">
      <c r="A95" s="54">
        <v>231601</v>
      </c>
      <c r="B95" s="55" t="s">
        <v>146</v>
      </c>
      <c r="C95" s="55" t="s">
        <v>194</v>
      </c>
      <c r="D95" s="80" t="s">
        <v>508</v>
      </c>
    </row>
    <row r="96" spans="1:4" x14ac:dyDescent="0.15">
      <c r="A96" s="52">
        <v>241801</v>
      </c>
      <c r="B96" s="53" t="s">
        <v>197</v>
      </c>
      <c r="C96" s="53" t="s">
        <v>198</v>
      </c>
      <c r="D96" s="79" t="s">
        <v>509</v>
      </c>
    </row>
    <row r="97" spans="1:4" x14ac:dyDescent="0.15">
      <c r="A97" s="48">
        <v>241802</v>
      </c>
      <c r="B97" s="49" t="s">
        <v>197</v>
      </c>
      <c r="C97" s="49" t="s">
        <v>198</v>
      </c>
      <c r="D97" s="77" t="s">
        <v>510</v>
      </c>
    </row>
    <row r="98" spans="1:4" x14ac:dyDescent="0.15">
      <c r="A98" s="48">
        <v>241804</v>
      </c>
      <c r="B98" s="49" t="s">
        <v>197</v>
      </c>
      <c r="C98" s="49" t="s">
        <v>198</v>
      </c>
      <c r="D98" s="77" t="s">
        <v>511</v>
      </c>
    </row>
    <row r="99" spans="1:4" x14ac:dyDescent="0.15">
      <c r="A99" s="48">
        <v>241901</v>
      </c>
      <c r="B99" s="49" t="s">
        <v>197</v>
      </c>
      <c r="C99" s="49" t="s">
        <v>210</v>
      </c>
      <c r="D99" s="77" t="s">
        <v>512</v>
      </c>
    </row>
    <row r="100" spans="1:4" x14ac:dyDescent="0.15">
      <c r="A100" s="48">
        <v>241903</v>
      </c>
      <c r="B100" s="49" t="s">
        <v>197</v>
      </c>
      <c r="C100" s="49" t="s">
        <v>210</v>
      </c>
      <c r="D100" s="77" t="s">
        <v>513</v>
      </c>
    </row>
    <row r="101" spans="1:4" x14ac:dyDescent="0.15">
      <c r="A101" s="48">
        <v>242001</v>
      </c>
      <c r="B101" s="49" t="s">
        <v>197</v>
      </c>
      <c r="C101" s="49" t="s">
        <v>219</v>
      </c>
      <c r="D101" s="81" t="s">
        <v>514</v>
      </c>
    </row>
    <row r="102" spans="1:4" x14ac:dyDescent="0.15">
      <c r="A102" s="48">
        <v>242101</v>
      </c>
      <c r="B102" s="49" t="s">
        <v>197</v>
      </c>
      <c r="C102" s="49" t="s">
        <v>222</v>
      </c>
      <c r="D102" s="77" t="s">
        <v>515</v>
      </c>
    </row>
    <row r="103" spans="1:4" x14ac:dyDescent="0.15">
      <c r="A103" s="48">
        <v>242102</v>
      </c>
      <c r="B103" s="49" t="s">
        <v>197</v>
      </c>
      <c r="C103" s="49" t="s">
        <v>222</v>
      </c>
      <c r="D103" s="77" t="s">
        <v>516</v>
      </c>
    </row>
    <row r="104" spans="1:4" x14ac:dyDescent="0.15">
      <c r="A104" s="48">
        <v>242103</v>
      </c>
      <c r="B104" s="49" t="s">
        <v>197</v>
      </c>
      <c r="C104" s="49" t="s">
        <v>222</v>
      </c>
      <c r="D104" s="77" t="s">
        <v>517</v>
      </c>
    </row>
    <row r="105" spans="1:4" x14ac:dyDescent="0.15">
      <c r="A105" s="48">
        <v>242104</v>
      </c>
      <c r="B105" s="49" t="s">
        <v>197</v>
      </c>
      <c r="C105" s="49" t="s">
        <v>222</v>
      </c>
      <c r="D105" s="77" t="s">
        <v>518</v>
      </c>
    </row>
    <row r="106" spans="1:4" x14ac:dyDescent="0.15">
      <c r="A106" s="48">
        <v>242105</v>
      </c>
      <c r="B106" s="49" t="s">
        <v>197</v>
      </c>
      <c r="C106" s="49" t="s">
        <v>222</v>
      </c>
      <c r="D106" s="77" t="s">
        <v>519</v>
      </c>
    </row>
    <row r="107" spans="1:4" x14ac:dyDescent="0.15">
      <c r="A107" s="48">
        <v>242201</v>
      </c>
      <c r="B107" s="49" t="s">
        <v>197</v>
      </c>
      <c r="C107" s="49" t="s">
        <v>232</v>
      </c>
      <c r="D107" s="77" t="s">
        <v>520</v>
      </c>
    </row>
    <row r="108" spans="1:4" ht="14.25" thickBot="1" x14ac:dyDescent="0.2">
      <c r="A108" s="54">
        <v>242202</v>
      </c>
      <c r="B108" s="55" t="s">
        <v>197</v>
      </c>
      <c r="C108" s="55" t="s">
        <v>232</v>
      </c>
      <c r="D108" s="80" t="s">
        <v>521</v>
      </c>
    </row>
    <row r="109" spans="1:4" x14ac:dyDescent="0.15">
      <c r="A109" s="52">
        <v>252301</v>
      </c>
      <c r="B109" s="53" t="s">
        <v>235</v>
      </c>
      <c r="C109" s="53" t="s">
        <v>236</v>
      </c>
      <c r="D109" s="79" t="s">
        <v>522</v>
      </c>
    </row>
    <row r="110" spans="1:4" x14ac:dyDescent="0.15">
      <c r="A110" s="48">
        <v>252302</v>
      </c>
      <c r="B110" s="49" t="s">
        <v>235</v>
      </c>
      <c r="C110" s="49" t="s">
        <v>236</v>
      </c>
      <c r="D110" s="77" t="s">
        <v>523</v>
      </c>
    </row>
    <row r="111" spans="1:4" x14ac:dyDescent="0.15">
      <c r="A111" s="48">
        <v>252303</v>
      </c>
      <c r="B111" s="49" t="s">
        <v>235</v>
      </c>
      <c r="C111" s="49" t="s">
        <v>236</v>
      </c>
      <c r="D111" s="77" t="s">
        <v>524</v>
      </c>
    </row>
    <row r="112" spans="1:4" x14ac:dyDescent="0.15">
      <c r="A112" s="48">
        <v>252304</v>
      </c>
      <c r="B112" s="49" t="s">
        <v>235</v>
      </c>
      <c r="C112" s="49" t="s">
        <v>236</v>
      </c>
      <c r="D112" s="77" t="s">
        <v>525</v>
      </c>
    </row>
    <row r="113" spans="1:5" x14ac:dyDescent="0.15">
      <c r="A113" s="48">
        <v>252305</v>
      </c>
      <c r="B113" s="49" t="s">
        <v>235</v>
      </c>
      <c r="C113" s="49" t="s">
        <v>236</v>
      </c>
      <c r="D113" s="77" t="s">
        <v>526</v>
      </c>
    </row>
    <row r="114" spans="1:5" x14ac:dyDescent="0.15">
      <c r="A114" s="48">
        <v>252306</v>
      </c>
      <c r="B114" s="49" t="s">
        <v>235</v>
      </c>
      <c r="C114" s="49" t="s">
        <v>236</v>
      </c>
      <c r="D114" s="77" t="s">
        <v>527</v>
      </c>
    </row>
    <row r="115" spans="1:5" x14ac:dyDescent="0.15">
      <c r="A115" s="48">
        <v>252307</v>
      </c>
      <c r="B115" s="49" t="s">
        <v>235</v>
      </c>
      <c r="C115" s="49" t="s">
        <v>236</v>
      </c>
      <c r="D115" s="77" t="s">
        <v>528</v>
      </c>
    </row>
    <row r="116" spans="1:5" x14ac:dyDescent="0.15">
      <c r="A116" s="48">
        <v>252308</v>
      </c>
      <c r="B116" s="49" t="s">
        <v>235</v>
      </c>
      <c r="C116" s="49" t="s">
        <v>236</v>
      </c>
      <c r="D116" s="77" t="s">
        <v>529</v>
      </c>
    </row>
    <row r="117" spans="1:5" x14ac:dyDescent="0.15">
      <c r="A117" s="48">
        <v>252309</v>
      </c>
      <c r="B117" s="49" t="s">
        <v>235</v>
      </c>
      <c r="C117" s="49" t="s">
        <v>236</v>
      </c>
      <c r="D117" s="77" t="s">
        <v>530</v>
      </c>
    </row>
    <row r="118" spans="1:5" x14ac:dyDescent="0.15">
      <c r="A118" s="48">
        <v>252310</v>
      </c>
      <c r="B118" s="49" t="s">
        <v>235</v>
      </c>
      <c r="C118" s="49" t="s">
        <v>236</v>
      </c>
      <c r="D118" s="77" t="s">
        <v>531</v>
      </c>
    </row>
    <row r="119" spans="1:5" x14ac:dyDescent="0.15">
      <c r="A119" s="48">
        <v>252311</v>
      </c>
      <c r="B119" s="49" t="s">
        <v>235</v>
      </c>
      <c r="C119" s="49" t="s">
        <v>236</v>
      </c>
      <c r="D119" s="77" t="s">
        <v>532</v>
      </c>
    </row>
    <row r="120" spans="1:5" x14ac:dyDescent="0.15">
      <c r="A120" s="48">
        <v>252402</v>
      </c>
      <c r="B120" s="49" t="s">
        <v>235</v>
      </c>
      <c r="C120" s="49" t="s">
        <v>251</v>
      </c>
      <c r="D120" s="77" t="s">
        <v>533</v>
      </c>
    </row>
    <row r="121" spans="1:5" x14ac:dyDescent="0.15">
      <c r="A121" s="48">
        <v>252501</v>
      </c>
      <c r="B121" s="49" t="s">
        <v>235</v>
      </c>
      <c r="C121" s="49" t="s">
        <v>254</v>
      </c>
      <c r="D121" s="77" t="s">
        <v>534</v>
      </c>
    </row>
    <row r="122" spans="1:5" x14ac:dyDescent="0.15">
      <c r="A122" s="48">
        <v>252503</v>
      </c>
      <c r="B122" s="49" t="s">
        <v>235</v>
      </c>
      <c r="C122" s="49" t="s">
        <v>254</v>
      </c>
      <c r="D122" s="77" t="s">
        <v>535</v>
      </c>
    </row>
    <row r="123" spans="1:5" x14ac:dyDescent="0.15">
      <c r="A123" s="48">
        <v>252505</v>
      </c>
      <c r="B123" s="49" t="s">
        <v>235</v>
      </c>
      <c r="C123" s="49" t="s">
        <v>254</v>
      </c>
      <c r="D123" s="77" t="s">
        <v>536</v>
      </c>
    </row>
    <row r="124" spans="1:5" ht="14.25" thickBot="1" x14ac:dyDescent="0.2">
      <c r="A124" s="56">
        <v>252601</v>
      </c>
      <c r="B124" s="57" t="s">
        <v>235</v>
      </c>
      <c r="C124" s="57" t="s">
        <v>259</v>
      </c>
      <c r="D124" s="82" t="s">
        <v>537</v>
      </c>
    </row>
    <row r="125" spans="1:5" x14ac:dyDescent="0.15">
      <c r="A125" s="52">
        <v>262701</v>
      </c>
      <c r="B125" s="53" t="s">
        <v>261</v>
      </c>
      <c r="C125" s="53" t="s">
        <v>262</v>
      </c>
      <c r="D125" s="79" t="s">
        <v>538</v>
      </c>
      <c r="E125" s="41" t="s">
        <v>539</v>
      </c>
    </row>
    <row r="126" spans="1:5" x14ac:dyDescent="0.15">
      <c r="A126" s="48">
        <v>262702</v>
      </c>
      <c r="B126" s="49" t="s">
        <v>261</v>
      </c>
      <c r="C126" s="49" t="s">
        <v>262</v>
      </c>
      <c r="D126" s="77" t="s">
        <v>540</v>
      </c>
      <c r="E126" s="41" t="s">
        <v>541</v>
      </c>
    </row>
    <row r="127" spans="1:5" x14ac:dyDescent="0.15">
      <c r="A127" s="50">
        <v>262703</v>
      </c>
      <c r="B127" s="51" t="s">
        <v>261</v>
      </c>
      <c r="C127" s="51" t="s">
        <v>262</v>
      </c>
      <c r="D127" s="78" t="s">
        <v>542</v>
      </c>
      <c r="E127" s="41" t="s">
        <v>45</v>
      </c>
    </row>
    <row r="128" spans="1:5" x14ac:dyDescent="0.15">
      <c r="A128" s="50">
        <v>262704</v>
      </c>
      <c r="B128" s="51" t="s">
        <v>261</v>
      </c>
      <c r="C128" s="51" t="s">
        <v>262</v>
      </c>
      <c r="D128" s="78" t="s">
        <v>543</v>
      </c>
      <c r="E128" s="41" t="s">
        <v>45</v>
      </c>
    </row>
    <row r="129" spans="1:5" x14ac:dyDescent="0.15">
      <c r="A129" s="50">
        <v>262705</v>
      </c>
      <c r="B129" s="51" t="s">
        <v>261</v>
      </c>
      <c r="C129" s="51" t="s">
        <v>262</v>
      </c>
      <c r="D129" s="78" t="s">
        <v>544</v>
      </c>
      <c r="E129" s="41" t="s">
        <v>45</v>
      </c>
    </row>
    <row r="130" spans="1:5" x14ac:dyDescent="0.15">
      <c r="A130" s="48">
        <v>262706</v>
      </c>
      <c r="B130" s="49" t="s">
        <v>261</v>
      </c>
      <c r="C130" s="49" t="s">
        <v>262</v>
      </c>
      <c r="D130" s="77" t="s">
        <v>545</v>
      </c>
    </row>
    <row r="131" spans="1:5" x14ac:dyDescent="0.15">
      <c r="A131" s="50">
        <v>262707</v>
      </c>
      <c r="B131" s="51" t="s">
        <v>261</v>
      </c>
      <c r="C131" s="51" t="s">
        <v>262</v>
      </c>
      <c r="D131" s="78" t="s">
        <v>546</v>
      </c>
      <c r="E131" s="41" t="s">
        <v>45</v>
      </c>
    </row>
    <row r="132" spans="1:5" x14ac:dyDescent="0.15">
      <c r="A132" s="48">
        <v>262709</v>
      </c>
      <c r="B132" s="49" t="s">
        <v>261</v>
      </c>
      <c r="C132" s="49" t="s">
        <v>262</v>
      </c>
      <c r="D132" s="77" t="s">
        <v>547</v>
      </c>
    </row>
    <row r="133" spans="1:5" x14ac:dyDescent="0.15">
      <c r="A133" s="48">
        <v>262801</v>
      </c>
      <c r="B133" s="49" t="s">
        <v>261</v>
      </c>
      <c r="C133" s="49" t="s">
        <v>288</v>
      </c>
      <c r="D133" s="77" t="s">
        <v>548</v>
      </c>
    </row>
    <row r="134" spans="1:5" x14ac:dyDescent="0.15">
      <c r="A134" s="48">
        <v>262901</v>
      </c>
      <c r="B134" s="49" t="s">
        <v>261</v>
      </c>
      <c r="C134" s="49" t="s">
        <v>286</v>
      </c>
      <c r="D134" s="77" t="s">
        <v>549</v>
      </c>
    </row>
    <row r="135" spans="1:5" x14ac:dyDescent="0.15">
      <c r="A135" s="48">
        <v>263001</v>
      </c>
      <c r="B135" s="49" t="s">
        <v>261</v>
      </c>
      <c r="C135" s="49" t="s">
        <v>277</v>
      </c>
      <c r="D135" s="77" t="s">
        <v>550</v>
      </c>
    </row>
    <row r="136" spans="1:5" x14ac:dyDescent="0.15">
      <c r="A136" s="48">
        <v>263003</v>
      </c>
      <c r="B136" s="49" t="s">
        <v>261</v>
      </c>
      <c r="C136" s="49" t="s">
        <v>277</v>
      </c>
      <c r="D136" s="77" t="s">
        <v>551</v>
      </c>
    </row>
    <row r="137" spans="1:5" x14ac:dyDescent="0.15">
      <c r="A137" s="48">
        <v>263004</v>
      </c>
      <c r="B137" s="49" t="s">
        <v>261</v>
      </c>
      <c r="C137" s="49" t="s">
        <v>277</v>
      </c>
      <c r="D137" s="77" t="s">
        <v>552</v>
      </c>
    </row>
    <row r="138" spans="1:5" x14ac:dyDescent="0.15">
      <c r="A138" s="48">
        <v>263101</v>
      </c>
      <c r="B138" s="49" t="s">
        <v>261</v>
      </c>
      <c r="C138" s="49" t="s">
        <v>290</v>
      </c>
      <c r="D138" s="77" t="s">
        <v>553</v>
      </c>
    </row>
    <row r="139" spans="1:5" x14ac:dyDescent="0.15">
      <c r="A139" s="48">
        <v>263103</v>
      </c>
      <c r="B139" s="49" t="s">
        <v>261</v>
      </c>
      <c r="C139" s="49" t="s">
        <v>290</v>
      </c>
      <c r="D139" s="77" t="s">
        <v>554</v>
      </c>
    </row>
    <row r="140" spans="1:5" x14ac:dyDescent="0.15">
      <c r="A140" s="48">
        <v>263104</v>
      </c>
      <c r="B140" s="49" t="s">
        <v>261</v>
      </c>
      <c r="C140" s="49" t="s">
        <v>290</v>
      </c>
      <c r="D140" s="77" t="s">
        <v>555</v>
      </c>
    </row>
    <row r="141" spans="1:5" x14ac:dyDescent="0.15">
      <c r="A141" s="48">
        <v>263201</v>
      </c>
      <c r="B141" s="49" t="s">
        <v>261</v>
      </c>
      <c r="C141" s="49" t="s">
        <v>303</v>
      </c>
      <c r="D141" s="77" t="s">
        <v>556</v>
      </c>
    </row>
    <row r="142" spans="1:5" x14ac:dyDescent="0.15">
      <c r="A142" s="48">
        <v>263301</v>
      </c>
      <c r="B142" s="49" t="s">
        <v>261</v>
      </c>
      <c r="C142" s="49" t="s">
        <v>307</v>
      </c>
      <c r="D142" s="77" t="s">
        <v>557</v>
      </c>
    </row>
    <row r="143" spans="1:5" x14ac:dyDescent="0.15">
      <c r="A143" s="48">
        <v>263401</v>
      </c>
      <c r="B143" s="49" t="s">
        <v>261</v>
      </c>
      <c r="C143" s="49" t="s">
        <v>299</v>
      </c>
      <c r="D143" s="77" t="s">
        <v>558</v>
      </c>
    </row>
    <row r="144" spans="1:5" ht="14.25" thickBot="1" x14ac:dyDescent="0.2">
      <c r="A144" s="58">
        <v>263404</v>
      </c>
      <c r="B144" s="59" t="s">
        <v>261</v>
      </c>
      <c r="C144" s="59" t="s">
        <v>299</v>
      </c>
      <c r="D144" s="83" t="s">
        <v>559</v>
      </c>
    </row>
    <row r="145" spans="1:5" ht="14.25" thickBot="1" x14ac:dyDescent="0.2">
      <c r="A145" s="44">
        <v>270001</v>
      </c>
      <c r="B145" s="45" t="s">
        <v>312</v>
      </c>
      <c r="C145" s="45" t="s">
        <v>312</v>
      </c>
      <c r="D145" s="84" t="s">
        <v>560</v>
      </c>
    </row>
    <row r="146" spans="1:5" ht="14.25" thickBot="1" x14ac:dyDescent="0.2">
      <c r="A146" s="44">
        <v>270202</v>
      </c>
      <c r="B146" s="45" t="s">
        <v>309</v>
      </c>
      <c r="C146" s="45" t="s">
        <v>309</v>
      </c>
      <c r="D146" s="84" t="s">
        <v>311</v>
      </c>
    </row>
    <row r="147" spans="1:5" x14ac:dyDescent="0.15">
      <c r="A147" s="46">
        <v>270203</v>
      </c>
      <c r="B147" s="47" t="s">
        <v>312</v>
      </c>
      <c r="C147" s="47" t="s">
        <v>312</v>
      </c>
      <c r="D147" s="85" t="s">
        <v>313</v>
      </c>
    </row>
    <row r="148" spans="1:5" x14ac:dyDescent="0.15">
      <c r="A148" s="48">
        <v>270204</v>
      </c>
      <c r="B148" s="49" t="s">
        <v>312</v>
      </c>
      <c r="C148" s="49" t="s">
        <v>312</v>
      </c>
      <c r="D148" s="81" t="s">
        <v>314</v>
      </c>
    </row>
    <row r="149" spans="1:5" x14ac:dyDescent="0.15">
      <c r="A149" s="48">
        <v>270205</v>
      </c>
      <c r="B149" s="49" t="s">
        <v>312</v>
      </c>
      <c r="C149" s="49" t="s">
        <v>312</v>
      </c>
      <c r="D149" s="81" t="s">
        <v>315</v>
      </c>
    </row>
    <row r="150" spans="1:5" x14ac:dyDescent="0.15">
      <c r="A150" s="48">
        <v>270206</v>
      </c>
      <c r="B150" s="49" t="s">
        <v>312</v>
      </c>
      <c r="C150" s="49" t="s">
        <v>312</v>
      </c>
      <c r="D150" s="81" t="s">
        <v>316</v>
      </c>
    </row>
    <row r="151" spans="1:5" x14ac:dyDescent="0.15">
      <c r="A151" s="48">
        <v>270207</v>
      </c>
      <c r="B151" s="49" t="s">
        <v>312</v>
      </c>
      <c r="C151" s="49" t="s">
        <v>312</v>
      </c>
      <c r="D151" s="81" t="s">
        <v>317</v>
      </c>
    </row>
    <row r="152" spans="1:5" x14ac:dyDescent="0.15">
      <c r="A152" s="48">
        <v>270208</v>
      </c>
      <c r="B152" s="49" t="s">
        <v>312</v>
      </c>
      <c r="C152" s="49" t="s">
        <v>312</v>
      </c>
      <c r="D152" s="81" t="s">
        <v>318</v>
      </c>
    </row>
    <row r="153" spans="1:5" x14ac:dyDescent="0.15">
      <c r="A153" s="48">
        <v>270209</v>
      </c>
      <c r="B153" s="49" t="s">
        <v>312</v>
      </c>
      <c r="C153" s="49" t="s">
        <v>312</v>
      </c>
      <c r="D153" s="81" t="s">
        <v>319</v>
      </c>
    </row>
    <row r="154" spans="1:5" x14ac:dyDescent="0.15">
      <c r="A154" s="48">
        <v>270210</v>
      </c>
      <c r="B154" s="49" t="s">
        <v>312</v>
      </c>
      <c r="C154" s="49" t="s">
        <v>312</v>
      </c>
      <c r="D154" s="81" t="s">
        <v>320</v>
      </c>
    </row>
    <row r="155" spans="1:5" x14ac:dyDescent="0.15">
      <c r="A155" s="48">
        <v>270211</v>
      </c>
      <c r="B155" s="49" t="s">
        <v>312</v>
      </c>
      <c r="C155" s="49" t="s">
        <v>312</v>
      </c>
      <c r="D155" s="81" t="s">
        <v>321</v>
      </c>
    </row>
    <row r="156" spans="1:5" x14ac:dyDescent="0.15">
      <c r="A156" s="48">
        <v>270212</v>
      </c>
      <c r="B156" s="49" t="s">
        <v>312</v>
      </c>
      <c r="C156" s="49" t="s">
        <v>312</v>
      </c>
      <c r="D156" s="81" t="s">
        <v>322</v>
      </c>
    </row>
    <row r="157" spans="1:5" x14ac:dyDescent="0.15">
      <c r="A157" s="48">
        <v>270213</v>
      </c>
      <c r="B157" s="49" t="s">
        <v>312</v>
      </c>
      <c r="C157" s="49" t="s">
        <v>312</v>
      </c>
      <c r="D157" s="81" t="s">
        <v>323</v>
      </c>
    </row>
    <row r="158" spans="1:5" x14ac:dyDescent="0.15">
      <c r="A158" s="48">
        <v>270214</v>
      </c>
      <c r="B158" s="49" t="s">
        <v>312</v>
      </c>
      <c r="C158" s="49" t="s">
        <v>312</v>
      </c>
      <c r="D158" s="81" t="s">
        <v>324</v>
      </c>
    </row>
    <row r="159" spans="1:5" x14ac:dyDescent="0.15">
      <c r="A159" s="48">
        <v>270215</v>
      </c>
      <c r="B159" s="49" t="s">
        <v>312</v>
      </c>
      <c r="C159" s="49" t="s">
        <v>312</v>
      </c>
      <c r="D159" s="81" t="s">
        <v>325</v>
      </c>
    </row>
    <row r="160" spans="1:5" ht="14.25" thickBot="1" x14ac:dyDescent="0.2">
      <c r="A160" s="60">
        <v>270216</v>
      </c>
      <c r="B160" s="55" t="s">
        <v>312</v>
      </c>
      <c r="C160" s="55" t="s">
        <v>312</v>
      </c>
      <c r="D160" s="86" t="s">
        <v>326</v>
      </c>
      <c r="E160" s="41" t="s">
        <v>327</v>
      </c>
    </row>
    <row r="161" spans="1:4" ht="14.25" thickBot="1" x14ac:dyDescent="0.2">
      <c r="A161" s="61">
        <v>280001</v>
      </c>
      <c r="B161" s="62" t="s">
        <v>330</v>
      </c>
      <c r="C161" s="62" t="s">
        <v>330</v>
      </c>
      <c r="D161" s="87" t="s">
        <v>561</v>
      </c>
    </row>
    <row r="162" spans="1:4" s="65" customFormat="1" x14ac:dyDescent="0.15">
      <c r="A162" s="63">
        <v>90001</v>
      </c>
      <c r="B162" s="64" t="s">
        <v>332</v>
      </c>
      <c r="C162" s="64" t="s">
        <v>333</v>
      </c>
      <c r="D162" s="88" t="s">
        <v>334</v>
      </c>
    </row>
    <row r="163" spans="1:4" s="65" customFormat="1" x14ac:dyDescent="0.15">
      <c r="A163" s="66">
        <v>90002</v>
      </c>
      <c r="B163" s="67" t="s">
        <v>332</v>
      </c>
      <c r="C163" s="67" t="s">
        <v>335</v>
      </c>
      <c r="D163" s="89" t="s">
        <v>336</v>
      </c>
    </row>
    <row r="164" spans="1:4" s="65" customFormat="1" x14ac:dyDescent="0.15">
      <c r="A164" s="66">
        <v>90003</v>
      </c>
      <c r="B164" s="67" t="s">
        <v>332</v>
      </c>
      <c r="C164" s="67" t="s">
        <v>337</v>
      </c>
      <c r="D164" s="89" t="s">
        <v>338</v>
      </c>
    </row>
    <row r="165" spans="1:4" s="65" customFormat="1" x14ac:dyDescent="0.15">
      <c r="A165" s="66">
        <v>90004</v>
      </c>
      <c r="B165" s="67" t="s">
        <v>332</v>
      </c>
      <c r="C165" s="67" t="s">
        <v>339</v>
      </c>
      <c r="D165" s="89" t="s">
        <v>340</v>
      </c>
    </row>
    <row r="166" spans="1:4" s="65" customFormat="1" x14ac:dyDescent="0.15">
      <c r="A166" s="66">
        <v>90005</v>
      </c>
      <c r="B166" s="67" t="s">
        <v>332</v>
      </c>
      <c r="C166" s="67" t="s">
        <v>341</v>
      </c>
      <c r="D166" s="89" t="s">
        <v>342</v>
      </c>
    </row>
    <row r="167" spans="1:4" s="65" customFormat="1" x14ac:dyDescent="0.15">
      <c r="A167" s="66">
        <v>90006</v>
      </c>
      <c r="B167" s="67" t="s">
        <v>332</v>
      </c>
      <c r="C167" s="67" t="s">
        <v>343</v>
      </c>
      <c r="D167" s="89" t="s">
        <v>344</v>
      </c>
    </row>
    <row r="168" spans="1:4" s="65" customFormat="1" x14ac:dyDescent="0.15">
      <c r="A168" s="66">
        <v>90007</v>
      </c>
      <c r="B168" s="67" t="s">
        <v>332</v>
      </c>
      <c r="C168" s="67" t="s">
        <v>345</v>
      </c>
      <c r="D168" s="89" t="s">
        <v>346</v>
      </c>
    </row>
    <row r="169" spans="1:4" s="65" customFormat="1" x14ac:dyDescent="0.15">
      <c r="A169" s="66">
        <v>90008</v>
      </c>
      <c r="B169" s="67" t="s">
        <v>332</v>
      </c>
      <c r="C169" s="67" t="s">
        <v>347</v>
      </c>
      <c r="D169" s="89" t="s">
        <v>348</v>
      </c>
    </row>
    <row r="170" spans="1:4" s="65" customFormat="1" x14ac:dyDescent="0.15">
      <c r="A170" s="66">
        <v>90009</v>
      </c>
      <c r="B170" s="67" t="s">
        <v>332</v>
      </c>
      <c r="C170" s="67" t="s">
        <v>349</v>
      </c>
      <c r="D170" s="89" t="s">
        <v>350</v>
      </c>
    </row>
    <row r="171" spans="1:4" s="65" customFormat="1" x14ac:dyDescent="0.15">
      <c r="A171" s="66">
        <v>90010</v>
      </c>
      <c r="B171" s="67" t="s">
        <v>351</v>
      </c>
      <c r="C171" s="67" t="s">
        <v>352</v>
      </c>
      <c r="D171" s="89" t="s">
        <v>353</v>
      </c>
    </row>
    <row r="172" spans="1:4" s="65" customFormat="1" x14ac:dyDescent="0.15">
      <c r="A172" s="66">
        <v>90011</v>
      </c>
      <c r="B172" s="67" t="s">
        <v>351</v>
      </c>
      <c r="C172" s="67" t="s">
        <v>354</v>
      </c>
      <c r="D172" s="89" t="s">
        <v>355</v>
      </c>
    </row>
    <row r="173" spans="1:4" s="65" customFormat="1" x14ac:dyDescent="0.15">
      <c r="A173" s="66">
        <v>90012</v>
      </c>
      <c r="B173" s="67" t="s">
        <v>351</v>
      </c>
      <c r="C173" s="67" t="s">
        <v>356</v>
      </c>
      <c r="D173" s="89" t="s">
        <v>357</v>
      </c>
    </row>
    <row r="174" spans="1:4" s="65" customFormat="1" x14ac:dyDescent="0.15">
      <c r="A174" s="66">
        <v>90013</v>
      </c>
      <c r="B174" s="67" t="s">
        <v>351</v>
      </c>
      <c r="C174" s="67" t="s">
        <v>358</v>
      </c>
      <c r="D174" s="89" t="s">
        <v>359</v>
      </c>
    </row>
    <row r="175" spans="1:4" s="65" customFormat="1" x14ac:dyDescent="0.15">
      <c r="A175" s="66">
        <v>90014</v>
      </c>
      <c r="B175" s="67" t="s">
        <v>351</v>
      </c>
      <c r="C175" s="67" t="s">
        <v>352</v>
      </c>
      <c r="D175" s="89" t="s">
        <v>360</v>
      </c>
    </row>
    <row r="176" spans="1:4" s="65" customFormat="1" x14ac:dyDescent="0.15">
      <c r="A176" s="66">
        <v>90015</v>
      </c>
      <c r="B176" s="67" t="s">
        <v>361</v>
      </c>
      <c r="C176" s="67" t="s">
        <v>362</v>
      </c>
      <c r="D176" s="89" t="s">
        <v>363</v>
      </c>
    </row>
    <row r="177" spans="1:4" s="65" customFormat="1" x14ac:dyDescent="0.15">
      <c r="A177" s="66">
        <v>90016</v>
      </c>
      <c r="B177" s="67" t="s">
        <v>361</v>
      </c>
      <c r="C177" s="67" t="s">
        <v>364</v>
      </c>
      <c r="D177" s="89" t="s">
        <v>365</v>
      </c>
    </row>
    <row r="178" spans="1:4" s="65" customFormat="1" x14ac:dyDescent="0.15">
      <c r="A178" s="66">
        <v>90017</v>
      </c>
      <c r="B178" s="67" t="s">
        <v>361</v>
      </c>
      <c r="C178" s="67" t="s">
        <v>366</v>
      </c>
      <c r="D178" s="89" t="s">
        <v>367</v>
      </c>
    </row>
    <row r="179" spans="1:4" s="65" customFormat="1" x14ac:dyDescent="0.15">
      <c r="A179" s="66">
        <v>90018</v>
      </c>
      <c r="B179" s="67" t="s">
        <v>361</v>
      </c>
      <c r="C179" s="67" t="s">
        <v>368</v>
      </c>
      <c r="D179" s="89" t="s">
        <v>369</v>
      </c>
    </row>
    <row r="180" spans="1:4" s="65" customFormat="1" x14ac:dyDescent="0.15">
      <c r="A180" s="66">
        <v>90019</v>
      </c>
      <c r="B180" s="67" t="s">
        <v>361</v>
      </c>
      <c r="C180" s="67" t="s">
        <v>366</v>
      </c>
      <c r="D180" s="89" t="s">
        <v>370</v>
      </c>
    </row>
    <row r="181" spans="1:4" s="65" customFormat="1" x14ac:dyDescent="0.15">
      <c r="A181" s="66">
        <v>90020</v>
      </c>
      <c r="B181" s="67" t="s">
        <v>371</v>
      </c>
      <c r="C181" s="67" t="s">
        <v>372</v>
      </c>
      <c r="D181" s="89" t="s">
        <v>373</v>
      </c>
    </row>
    <row r="182" spans="1:4" s="65" customFormat="1" x14ac:dyDescent="0.15">
      <c r="A182" s="66">
        <v>90021</v>
      </c>
      <c r="B182" s="67" t="s">
        <v>371</v>
      </c>
      <c r="C182" s="67" t="s">
        <v>374</v>
      </c>
      <c r="D182" s="89" t="s">
        <v>375</v>
      </c>
    </row>
    <row r="183" spans="1:4" s="65" customFormat="1" x14ac:dyDescent="0.15">
      <c r="A183" s="66">
        <v>90022</v>
      </c>
      <c r="B183" s="67" t="s">
        <v>371</v>
      </c>
      <c r="C183" s="67" t="s">
        <v>376</v>
      </c>
      <c r="D183" s="89" t="s">
        <v>377</v>
      </c>
    </row>
    <row r="184" spans="1:4" s="65" customFormat="1" x14ac:dyDescent="0.15">
      <c r="A184" s="66">
        <v>90023</v>
      </c>
      <c r="B184" s="67" t="s">
        <v>371</v>
      </c>
      <c r="C184" s="67" t="s">
        <v>378</v>
      </c>
      <c r="D184" s="89" t="s">
        <v>379</v>
      </c>
    </row>
    <row r="185" spans="1:4" s="65" customFormat="1" x14ac:dyDescent="0.15">
      <c r="A185" s="66">
        <v>90024</v>
      </c>
      <c r="B185" s="67" t="s">
        <v>371</v>
      </c>
      <c r="C185" s="67" t="s">
        <v>380</v>
      </c>
      <c r="D185" s="89" t="s">
        <v>381</v>
      </c>
    </row>
    <row r="186" spans="1:4" s="65" customFormat="1" x14ac:dyDescent="0.15">
      <c r="A186" s="66">
        <v>90025</v>
      </c>
      <c r="B186" s="67" t="s">
        <v>371</v>
      </c>
      <c r="C186" s="67" t="s">
        <v>372</v>
      </c>
      <c r="D186" s="89" t="s">
        <v>382</v>
      </c>
    </row>
    <row r="187" spans="1:4" s="65" customFormat="1" x14ac:dyDescent="0.15">
      <c r="A187" s="66">
        <v>90026</v>
      </c>
      <c r="B187" s="67" t="s">
        <v>383</v>
      </c>
      <c r="C187" s="67" t="s">
        <v>384</v>
      </c>
      <c r="D187" s="89" t="s">
        <v>385</v>
      </c>
    </row>
    <row r="188" spans="1:4" s="65" customFormat="1" x14ac:dyDescent="0.15">
      <c r="A188" s="66">
        <v>90027</v>
      </c>
      <c r="B188" s="67" t="s">
        <v>383</v>
      </c>
      <c r="C188" s="67" t="s">
        <v>386</v>
      </c>
      <c r="D188" s="89" t="s">
        <v>387</v>
      </c>
    </row>
    <row r="189" spans="1:4" s="65" customFormat="1" x14ac:dyDescent="0.15">
      <c r="A189" s="66">
        <v>90028</v>
      </c>
      <c r="B189" s="67" t="s">
        <v>383</v>
      </c>
      <c r="C189" s="67" t="s">
        <v>388</v>
      </c>
      <c r="D189" s="89" t="s">
        <v>389</v>
      </c>
    </row>
    <row r="190" spans="1:4" s="65" customFormat="1" x14ac:dyDescent="0.15">
      <c r="A190" s="66">
        <v>90029</v>
      </c>
      <c r="B190" s="67" t="s">
        <v>383</v>
      </c>
      <c r="C190" s="67" t="s">
        <v>390</v>
      </c>
      <c r="D190" s="89" t="s">
        <v>391</v>
      </c>
    </row>
    <row r="191" spans="1:4" s="65" customFormat="1" x14ac:dyDescent="0.15">
      <c r="A191" s="66">
        <v>90030</v>
      </c>
      <c r="B191" s="67" t="s">
        <v>383</v>
      </c>
      <c r="C191" s="67" t="s">
        <v>384</v>
      </c>
      <c r="D191" s="89" t="s">
        <v>392</v>
      </c>
    </row>
    <row r="192" spans="1:4" s="65" customFormat="1" x14ac:dyDescent="0.15">
      <c r="A192" s="66">
        <v>90031</v>
      </c>
      <c r="B192" s="67" t="s">
        <v>393</v>
      </c>
      <c r="C192" s="67" t="s">
        <v>394</v>
      </c>
      <c r="D192" s="89" t="s">
        <v>395</v>
      </c>
    </row>
    <row r="193" spans="1:4" s="65" customFormat="1" x14ac:dyDescent="0.15">
      <c r="A193" s="66">
        <v>90032</v>
      </c>
      <c r="B193" s="67" t="s">
        <v>393</v>
      </c>
      <c r="C193" s="67" t="s">
        <v>396</v>
      </c>
      <c r="D193" s="89" t="s">
        <v>397</v>
      </c>
    </row>
    <row r="194" spans="1:4" s="65" customFormat="1" x14ac:dyDescent="0.15">
      <c r="A194" s="66">
        <v>90033</v>
      </c>
      <c r="B194" s="67" t="s">
        <v>393</v>
      </c>
      <c r="C194" s="67" t="s">
        <v>398</v>
      </c>
      <c r="D194" s="89" t="s">
        <v>399</v>
      </c>
    </row>
    <row r="195" spans="1:4" s="65" customFormat="1" x14ac:dyDescent="0.15">
      <c r="A195" s="66">
        <v>90034</v>
      </c>
      <c r="B195" s="67" t="s">
        <v>393</v>
      </c>
      <c r="C195" s="67" t="s">
        <v>400</v>
      </c>
      <c r="D195" s="89" t="s">
        <v>401</v>
      </c>
    </row>
    <row r="196" spans="1:4" s="65" customFormat="1" x14ac:dyDescent="0.15">
      <c r="A196" s="66">
        <v>90035</v>
      </c>
      <c r="B196" s="67" t="s">
        <v>393</v>
      </c>
      <c r="C196" s="67" t="s">
        <v>402</v>
      </c>
      <c r="D196" s="89" t="s">
        <v>403</v>
      </c>
    </row>
    <row r="197" spans="1:4" s="65" customFormat="1" x14ac:dyDescent="0.15">
      <c r="A197" s="66">
        <v>90036</v>
      </c>
      <c r="B197" s="67" t="s">
        <v>393</v>
      </c>
      <c r="C197" s="67" t="s">
        <v>404</v>
      </c>
      <c r="D197" s="89" t="s">
        <v>405</v>
      </c>
    </row>
    <row r="198" spans="1:4" s="65" customFormat="1" x14ac:dyDescent="0.15">
      <c r="A198" s="66">
        <v>90037</v>
      </c>
      <c r="B198" s="67" t="s">
        <v>393</v>
      </c>
      <c r="C198" s="67" t="s">
        <v>406</v>
      </c>
      <c r="D198" s="89" t="s">
        <v>407</v>
      </c>
    </row>
    <row r="199" spans="1:4" s="65" customFormat="1" x14ac:dyDescent="0.15">
      <c r="A199" s="66">
        <v>90038</v>
      </c>
      <c r="B199" s="67" t="s">
        <v>393</v>
      </c>
      <c r="C199" s="67" t="s">
        <v>408</v>
      </c>
      <c r="D199" s="89" t="s">
        <v>409</v>
      </c>
    </row>
    <row r="200" spans="1:4" s="65" customFormat="1" x14ac:dyDescent="0.15">
      <c r="A200" s="66">
        <v>90039</v>
      </c>
      <c r="B200" s="67" t="s">
        <v>393</v>
      </c>
      <c r="C200" s="67" t="s">
        <v>394</v>
      </c>
      <c r="D200" s="89" t="s">
        <v>410</v>
      </c>
    </row>
    <row r="201" spans="1:4" s="65" customFormat="1" x14ac:dyDescent="0.15">
      <c r="A201" s="66">
        <v>90040</v>
      </c>
      <c r="B201" s="67" t="s">
        <v>566</v>
      </c>
      <c r="C201" s="67" t="s">
        <v>411</v>
      </c>
      <c r="D201" s="89" t="s">
        <v>411</v>
      </c>
    </row>
    <row r="202" spans="1:4" x14ac:dyDescent="0.15">
      <c r="A202" s="58">
        <v>999999</v>
      </c>
      <c r="B202" s="93" t="s">
        <v>98</v>
      </c>
      <c r="C202" s="93" t="s">
        <v>99</v>
      </c>
      <c r="D202" s="94" t="s">
        <v>562</v>
      </c>
    </row>
    <row r="204" spans="1:4" x14ac:dyDescent="0.15">
      <c r="A204" s="42"/>
    </row>
  </sheetData>
  <phoneticPr fontId="1"/>
  <pageMargins left="0.70866141732283472" right="0.70866141732283472" top="0.55118110236220474" bottom="0.15748031496062992" header="0.31496062992125984" footer="0.11811023622047245"/>
  <pageSetup paperSize="9"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設定</vt:lpstr>
      <vt:lpstr>名簿</vt:lpstr>
      <vt:lpstr>小学校コード一覧表</vt:lpstr>
      <vt:lpstr>中学校コード一覧表</vt:lpstr>
      <vt:lpstr>小学校コード一覧表!Print_Area</vt:lpstr>
      <vt:lpstr>中学校コード一覧表!Print_Area</vt:lpstr>
      <vt:lpstr>小学校コード一覧表!Print_Titles</vt:lpstr>
      <vt:lpstr>中学校コード一覧表!Print_Titles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今村 鉄兵</dc:creator>
  <cp:lastModifiedBy>今村　鉄兵</cp:lastModifiedBy>
  <dcterms:created xsi:type="dcterms:W3CDTF">2015-06-05T18:17:20Z</dcterms:created>
  <dcterms:modified xsi:type="dcterms:W3CDTF">2026-07-12T09:54:45Z</dcterms:modified>
</cp:coreProperties>
</file>